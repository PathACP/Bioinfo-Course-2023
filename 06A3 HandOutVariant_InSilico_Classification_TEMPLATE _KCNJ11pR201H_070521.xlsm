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2.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drawings/drawing4.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showInkAnnotation="0" codeName="ThisWorkbook"/>
  <mc:AlternateContent xmlns:mc="http://schemas.openxmlformats.org/markup-compatibility/2006">
    <mc:Choice Requires="x15">
      <x15ac:absPath xmlns:x15ac="http://schemas.microsoft.com/office/spreadsheetml/2010/11/ac" url="https://d.docs.live.net/069fcbfacdd35660/Desktop/BIC2021/"/>
    </mc:Choice>
  </mc:AlternateContent>
  <xr:revisionPtr revIDLastSave="27" documentId="14_{1EFDEEFE-95B6-4BC9-A3F9-3C5B513F75C1}" xr6:coauthVersionLast="46" xr6:coauthVersionMax="46" xr10:uidLastSave="{AE2761F1-4A6B-4BB1-8562-79F3F38E5AFE}"/>
  <bookViews>
    <workbookView xWindow="-96" yWindow="-96" windowWidth="23232" windowHeight="13992" tabRatio="657" xr2:uid="{00000000-000D-0000-FFFF-FFFF00000000}"/>
  </bookViews>
  <sheets>
    <sheet name="1.WorkshopInsilico Analysis" sheetId="4" r:id="rId1"/>
    <sheet name="2.WorkshopEvidenceFramework" sheetId="2" r:id="rId2"/>
    <sheet name="2.WorkshopEvidenceFramework (2)" sheetId="8" r:id="rId3"/>
    <sheet name="3.In silico Analysis" sheetId="6" r:id="rId4"/>
    <sheet name="4.Evidence Framework" sheetId="7" r:id="rId5"/>
    <sheet name="5.Evidence Categories" sheetId="1" r:id="rId6"/>
    <sheet name="6.About this Tool" sheetId="3" r:id="rId7"/>
    <sheet name="In silico EXAMPLE" sheetId="5" r:id="rId8"/>
  </sheets>
  <definedNames>
    <definedName name="_xlnm.Print_Area" localSheetId="1">'2.WorkshopEvidenceFramework'!$A$1:$M$21</definedName>
    <definedName name="_xlnm.Print_Area" localSheetId="2">'2.WorkshopEvidenceFramework (2)'!$A$1:$M$21</definedName>
    <definedName name="_xlnm.Print_Area" localSheetId="4">'4.Evidence Framework'!$A$1:$M$21</definedName>
    <definedName name="_xlnm.Print_Area" localSheetId="5">'5.Evidence Categories'!$A$1:$K$60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3" i="8" l="1"/>
  <c r="K23" i="8"/>
  <c r="I23" i="8"/>
  <c r="G23" i="8"/>
  <c r="E23" i="8"/>
  <c r="C23" i="8"/>
  <c r="A40" i="8" s="1"/>
  <c r="M23" i="7"/>
  <c r="K23" i="7"/>
  <c r="I23" i="7"/>
  <c r="G23" i="7"/>
  <c r="E23" i="7"/>
  <c r="C23" i="7"/>
  <c r="A40" i="7" s="1"/>
  <c r="A43" i="8" l="1"/>
  <c r="A41" i="8" s="1"/>
  <c r="A32" i="8"/>
  <c r="A30" i="8"/>
  <c r="A31" i="8" s="1"/>
  <c r="A29" i="8"/>
  <c r="A27" i="8"/>
  <c r="A25" i="8"/>
  <c r="A43" i="7"/>
  <c r="A27" i="7"/>
  <c r="A26" i="7"/>
  <c r="A41" i="7"/>
  <c r="A44" i="7" s="1"/>
  <c r="A25" i="7"/>
  <c r="A32" i="7"/>
  <c r="A30" i="7"/>
  <c r="A31" i="7" s="1"/>
  <c r="A29" i="7"/>
  <c r="K23" i="2"/>
  <c r="M23" i="2"/>
  <c r="I23" i="2"/>
  <c r="C23" i="2"/>
  <c r="J24" i="1"/>
  <c r="J23" i="1"/>
  <c r="J18" i="1"/>
  <c r="J8" i="1"/>
  <c r="J7" i="1"/>
  <c r="J12" i="1"/>
  <c r="J28" i="1"/>
  <c r="E23" i="2"/>
  <c r="G23" i="2"/>
  <c r="A44" i="8" l="1"/>
  <c r="A42" i="8" s="1"/>
  <c r="A34" i="8"/>
  <c r="A26" i="8"/>
  <c r="A34" i="7"/>
  <c r="A42" i="7"/>
  <c r="A28" i="7"/>
  <c r="A37" i="7" s="1"/>
  <c r="A40" i="2"/>
  <c r="A25" i="2" s="1"/>
  <c r="J51" i="1"/>
  <c r="J54" i="1" s="1"/>
  <c r="A28" i="8" l="1"/>
  <c r="A33" i="8" s="1"/>
  <c r="A36" i="7"/>
  <c r="A33" i="7"/>
  <c r="A38" i="7"/>
  <c r="A35" i="7"/>
  <c r="A43" i="2"/>
  <c r="A41" i="2" s="1"/>
  <c r="A44" i="2" s="1"/>
  <c r="A42" i="2" s="1"/>
  <c r="J36" i="1"/>
  <c r="J37" i="1" s="1"/>
  <c r="J39" i="1" s="1"/>
  <c r="J52" i="1"/>
  <c r="J55" i="1" s="1"/>
  <c r="J53" i="1" s="1"/>
  <c r="A34" i="2"/>
  <c r="A30" i="2"/>
  <c r="A31" i="2" s="1"/>
  <c r="A26" i="2"/>
  <c r="A32" i="2"/>
  <c r="J38" i="1"/>
  <c r="A29" i="2"/>
  <c r="A27" i="2"/>
  <c r="A35" i="8" l="1"/>
  <c r="A36" i="8"/>
  <c r="J2" i="8" s="1"/>
  <c r="D4" i="8" s="1"/>
  <c r="A37" i="8"/>
  <c r="A38" i="8" s="1"/>
  <c r="A39" i="7"/>
  <c r="J2" i="7" s="1"/>
  <c r="D4" i="7" s="1"/>
  <c r="J40" i="1"/>
  <c r="J41" i="1"/>
  <c r="J42" i="1" s="1"/>
  <c r="J43" i="1"/>
  <c r="J44" i="1"/>
  <c r="J45" i="1"/>
  <c r="J46" i="1" s="1"/>
  <c r="J47" i="1"/>
  <c r="A28" i="2"/>
  <c r="J48" i="1"/>
  <c r="J49" i="1" s="1"/>
  <c r="A39" i="8" l="1"/>
  <c r="J50" i="1"/>
  <c r="A36" i="2"/>
  <c r="H2" i="1"/>
  <c r="E4" i="1" s="1"/>
  <c r="A35" i="2"/>
  <c r="A37" i="2"/>
  <c r="A38" i="2" s="1"/>
  <c r="A33" i="2"/>
  <c r="A39" i="2" l="1"/>
  <c r="J2" i="2"/>
  <c r="D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Sylvia Kam</author>
  </authors>
  <commentList>
    <comment ref="A12" authorId="0" shapeId="0" xr:uid="{00000000-0006-0000-0000-000001000000}">
      <text>
        <r>
          <rPr>
            <sz val="8"/>
            <color indexed="81"/>
            <rFont val="Tahoma"/>
            <family val="2"/>
          </rPr>
          <t>Breast/Ovarian  BIC
Colon/GI          InSiGHT
MODY/Others   LOVD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Sylvia Kam</author>
  </authors>
  <commentList>
    <comment ref="A12" authorId="0" shapeId="0" xr:uid="{45F6FF58-6341-4877-89FC-63E551C665C7}">
      <text>
        <r>
          <rPr>
            <sz val="8"/>
            <color indexed="81"/>
            <rFont val="Tahoma"/>
            <family val="2"/>
          </rPr>
          <t>Breast/Ovarian  BIC
Colon/GI          InSiGHT
MODY/Others   LOVD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Sylvia Kam</author>
  </authors>
  <commentList>
    <comment ref="A12" authorId="0" shapeId="0" xr:uid="{00000000-0006-0000-0400-000001000000}">
      <text>
        <r>
          <rPr>
            <sz val="9"/>
            <color indexed="81"/>
            <rFont val="Tahoma"/>
            <family val="2"/>
          </rPr>
          <t>Breast/Ovarian  BIC
Colon/GI          InSiGHT
MODY/Others   LOVD</t>
        </r>
      </text>
    </comment>
  </commentList>
</comments>
</file>

<file path=xl/sharedStrings.xml><?xml version="1.0" encoding="utf-8"?>
<sst xmlns="http://schemas.openxmlformats.org/spreadsheetml/2006/main" count="663" uniqueCount="323">
  <si>
    <t>Pathogenic</t>
  </si>
  <si>
    <t>Strong</t>
  </si>
  <si>
    <t>Evidence</t>
  </si>
  <si>
    <t>Moderate</t>
  </si>
  <si>
    <t>Supporting</t>
  </si>
  <si>
    <t>Benign</t>
  </si>
  <si>
    <t>Stand-alone</t>
  </si>
  <si>
    <t>(ii) ≥2 Strong (PS1–PS4)</t>
  </si>
  <si>
    <t>Pathogenic (Ia)</t>
  </si>
  <si>
    <t>Likely pathogenic (I)</t>
  </si>
  <si>
    <t>(vi) 1 Moderate (PM1–PM6) AND ≥4 supporting (PP1–PP5)</t>
  </si>
  <si>
    <t>Likely pathogenic (III)</t>
  </si>
  <si>
    <t>Likely pathogenic (V)</t>
  </si>
  <si>
    <t>Pathogenic (Ib)</t>
  </si>
  <si>
    <t>Pathogenic (Ic)</t>
  </si>
  <si>
    <t>Pathogenic (Id)</t>
  </si>
  <si>
    <t>Pathogenic (II)</t>
  </si>
  <si>
    <t>Pathogenic (IIIa)</t>
  </si>
  <si>
    <t>Pathogenic (IIIb)</t>
  </si>
  <si>
    <t>Pathogenic (IIIc)</t>
  </si>
  <si>
    <t>Likely pathogenic (II)</t>
  </si>
  <si>
    <t>Likely pathogenic (IV)</t>
  </si>
  <si>
    <t>Likely pathogenic (VI)</t>
  </si>
  <si>
    <t>(i) 1 Very strong (PVS1) AND 1 moderate (PM1–PM6)</t>
  </si>
  <si>
    <t>(ii) 1 Strong (PS1–PS4) AND 1–2 moderate (PM1–PM6)</t>
  </si>
  <si>
    <t>(iii) 1 Strong (PS1–PS4) AND ≥2 supporting (PP1–PP5)</t>
  </si>
  <si>
    <t>(iv) ≥3 Moderate (PM1–PM6)</t>
  </si>
  <si>
    <t>(v) 2 Moderate (PM1–PM6) AND ≥2 supporting (PP1–PP5)</t>
  </si>
  <si>
    <t>(ii) ≥2 Strong (BS1–BS4)</t>
  </si>
  <si>
    <t>(i) 1 Stand-alone (BA1)</t>
  </si>
  <si>
    <t>Benign (I)</t>
  </si>
  <si>
    <t>Benign (II)</t>
  </si>
  <si>
    <t>(ii) ≥2 Supporting (BP1–BP7)</t>
  </si>
  <si>
    <t>(i) 1 Strong (BS1–BS4) and 1 supporting (BP1–BP7)</t>
  </si>
  <si>
    <t>Likely benign (I)</t>
  </si>
  <si>
    <t>Likely benign (II)</t>
  </si>
  <si>
    <t>(ii) the criteria for benign and pathogenic are contradictory</t>
  </si>
  <si>
    <t>(i) Other criteria shown above are not met</t>
  </si>
  <si>
    <t>VUS - Insufficient evidence</t>
  </si>
  <si>
    <t>VUS - Conflicting evidence</t>
  </si>
  <si>
    <t>Located in a mutational hot spot and/or critical and well-established functional domain (e.g., active site of an enzyme) without benign variation</t>
  </si>
  <si>
    <t>PVS1</t>
  </si>
  <si>
    <t>Very Strong</t>
  </si>
  <si>
    <t>PS1</t>
  </si>
  <si>
    <t>PS2</t>
  </si>
  <si>
    <t>PS3</t>
  </si>
  <si>
    <t>PS4</t>
  </si>
  <si>
    <t>PM1</t>
  </si>
  <si>
    <t>PM2</t>
  </si>
  <si>
    <t>PM3</t>
  </si>
  <si>
    <t>PM4</t>
  </si>
  <si>
    <t>PM5</t>
  </si>
  <si>
    <t>PM6</t>
  </si>
  <si>
    <t>PP1</t>
  </si>
  <si>
    <t>PP2</t>
  </si>
  <si>
    <t>PP3</t>
  </si>
  <si>
    <t>PP4</t>
  </si>
  <si>
    <t>PP5</t>
  </si>
  <si>
    <t>Missense variant in a gene that has a low rate of benign missense variation and in which missense variants are a common mechanism of disease</t>
  </si>
  <si>
    <r>
      <t>Protein length changes as a result of in-frame deletions/insertions in a nonrepeat region or stop-loss variants</t>
    </r>
    <r>
      <rPr>
        <b/>
        <sz val="10"/>
        <color theme="1"/>
        <rFont val="Verdana"/>
        <family val="2"/>
      </rPr>
      <t/>
    </r>
  </si>
  <si>
    <t>Assumed de novo, but without confirmation of paternity and maternity</t>
  </si>
  <si>
    <t>Patient’s phenotype or family history is highly specific for a disease with a single genetic etiology</t>
  </si>
  <si>
    <t>Reputable source recently reports variant as pathogenic, but the evidence is not available to the laboratory to perform an independent evaluation</t>
  </si>
  <si>
    <t>BA1</t>
  </si>
  <si>
    <t>Allele frequency is &gt;5% in Exome Sequencing Project, 1000 Genomes Project, or Exome Aggregation Consortium</t>
  </si>
  <si>
    <t>BS1</t>
  </si>
  <si>
    <t>BS2</t>
  </si>
  <si>
    <t>BS3</t>
  </si>
  <si>
    <t>BS4</t>
  </si>
  <si>
    <r>
      <t>Observed in a healthy adult individual for a recessive (homozygous), dominant (heterozygous), or X-linked (hemizygous) disorder, with full penetrance expected at an early age</t>
    </r>
    <r>
      <rPr>
        <b/>
        <sz val="10"/>
        <color theme="1"/>
        <rFont val="Verdana"/>
        <family val="2"/>
      </rPr>
      <t/>
    </r>
  </si>
  <si>
    <t>Well-established in vitro or in vivo functional studies show no damaging effect on protein function or splicing</t>
  </si>
  <si>
    <t>Allele frequency is greater than expected for disorder</t>
  </si>
  <si>
    <t>BP1</t>
  </si>
  <si>
    <t>BP2</t>
  </si>
  <si>
    <t>BP3</t>
  </si>
  <si>
    <t>BP4</t>
  </si>
  <si>
    <t>BP5</t>
  </si>
  <si>
    <t>BP6</t>
  </si>
  <si>
    <t>BP7</t>
  </si>
  <si>
    <t>Missense variant in a gene for which primarily truncating variants are known to cause disease</t>
  </si>
  <si>
    <t>Observed in trans with a pathogenic variant for a fully penetrant dominant gene/disorder or observed in cis with a pathogenic variant in any inheritance pattern</t>
  </si>
  <si>
    <r>
      <t>In-frame deletions/insertions in a repetitive region without a known function</t>
    </r>
    <r>
      <rPr>
        <b/>
        <sz val="10"/>
        <color theme="1"/>
        <rFont val="Verdana"/>
        <family val="2"/>
      </rPr>
      <t/>
    </r>
  </si>
  <si>
    <t>Variant found in a case with an alternate molecular basis for disease</t>
  </si>
  <si>
    <t>A synonymous (silent) variant for which splicing prediction algorithms predict no impact to the splice consensus sequence nor the creation of a new splice site AND the nucleotide is not highly conserved</t>
  </si>
  <si>
    <r>
      <t>Reputable source recently reports variant as benign, but the evidence is not available to the laboratory to perform an independent evaluation</t>
    </r>
    <r>
      <rPr>
        <b/>
        <sz val="10"/>
        <color theme="1"/>
        <rFont val="Verdana"/>
        <family val="2"/>
      </rPr>
      <t/>
    </r>
  </si>
  <si>
    <t>(i) 1 Very strong (PVS1) AND (a) ≥1 Strong (PS1–PS4)</t>
  </si>
  <si>
    <t>(i) 1 Very strong (PVS1) AND (b) ≥2 Moderate (PM1–PM6)</t>
  </si>
  <si>
    <t xml:space="preserve">(i) 1 Very strong (PVS1) AND (c) 1 Moderate (PM1–PM6) and 1 supporting (PP1–PP5) </t>
  </si>
  <si>
    <t>(i) 1 Very strong (PVS1) AND (d) ≥2 Supporting (PP1–PP5)</t>
  </si>
  <si>
    <t>(iii) 1 Strong (PS1–PS4) AND (a) ≥3 Moderate (PM1–PM6)</t>
  </si>
  <si>
    <t>(iii) 1 Strong (PS1–PS4) AND (b) 2 Moderate (PM1–PM6) AND ≥2 Supporting (PP1–PP5)</t>
  </si>
  <si>
    <t>(iii) 1 Strong (PS1–PS4) AND (c) 1 Moderate (PM1–PM6) AND ≥4 supporting (PP1–PP5)</t>
  </si>
  <si>
    <t>Classification:</t>
  </si>
  <si>
    <t xml:space="preserve">  Category</t>
  </si>
  <si>
    <t>Selection</t>
  </si>
  <si>
    <t>Very strong</t>
  </si>
  <si>
    <t>Increased segregation data - Cosegregation with disease in multiple affected family members</t>
  </si>
  <si>
    <t>De novo data</t>
  </si>
  <si>
    <t>Allelic data</t>
  </si>
  <si>
    <t>Other database</t>
  </si>
  <si>
    <t>Other data</t>
  </si>
  <si>
    <t>Computa-tional and predictive data</t>
  </si>
  <si>
    <t>Segrega-tion data</t>
  </si>
  <si>
    <t>Function-al data</t>
  </si>
  <si>
    <t>Popula-tion data</t>
  </si>
  <si>
    <r>
      <t xml:space="preserve">Null variant (nonsense, frameshift, canonical ±1 or 2 splice sites, initiation codon, single or multiexon deletion) in a gene where LOF is a known mechanism of disease
</t>
    </r>
    <r>
      <rPr>
        <b/>
        <u/>
        <sz val="9"/>
        <color theme="1"/>
        <rFont val="Verdana"/>
        <family val="2"/>
      </rPr>
      <t>Caveats:</t>
    </r>
    <r>
      <rPr>
        <sz val="9"/>
        <color theme="1"/>
        <rFont val="Verdana"/>
        <family val="2"/>
      </rPr>
      <t xml:space="preserve">
• Beware of genes where LOF is not a known disease mechanism (e.g., GFAP, MYH7)
• Use caution interpreting LOF variants at the extreme 3′ end of a gene
• Use caution with splice variants that are predicted to lead to exon skipping but leave the remainder of the protein intact
• Use caution in the presence of multiple transcripts</t>
    </r>
  </si>
  <si>
    <r>
      <t xml:space="preserve">Same amino acid change as a previously established pathogenic variant regardless of nucleotide change
</t>
    </r>
    <r>
      <rPr>
        <b/>
        <u/>
        <sz val="9"/>
        <color theme="1"/>
        <rFont val="Verdana"/>
        <family val="2"/>
      </rPr>
      <t>Example:</t>
    </r>
    <r>
      <rPr>
        <sz val="9"/>
        <color theme="1"/>
        <rFont val="Verdana"/>
        <family val="2"/>
      </rPr>
      <t xml:space="preserve"> Val→Leu caused by either G&gt;C or G&gt;T in the same codon
</t>
    </r>
    <r>
      <rPr>
        <b/>
        <u/>
        <sz val="9"/>
        <color theme="1"/>
        <rFont val="Verdana"/>
        <family val="2"/>
      </rPr>
      <t>Caveat:</t>
    </r>
    <r>
      <rPr>
        <sz val="9"/>
        <color theme="1"/>
        <rFont val="Verdana"/>
        <family val="2"/>
      </rPr>
      <t xml:space="preserve"> Beware of changes that impact splicing rather than at the amino acid/protein level</t>
    </r>
  </si>
  <si>
    <r>
      <t xml:space="preserve">De novo (both maternity and paternity confirmed) in a patient with the disease and no family history
</t>
    </r>
    <r>
      <rPr>
        <b/>
        <u/>
        <sz val="9"/>
        <color theme="1"/>
        <rFont val="Verdana"/>
        <family val="2"/>
      </rPr>
      <t>Note:</t>
    </r>
    <r>
      <rPr>
        <sz val="9"/>
        <color theme="1"/>
        <rFont val="Verdana"/>
        <family val="2"/>
      </rPr>
      <t xml:space="preserve"> Confirmation of paternity only is insufficient. Egg donation, surrogate motherhood, errors in embryo transfer, and so on, can contribute to nonmaternity.</t>
    </r>
  </si>
  <si>
    <r>
      <t xml:space="preserve">Well-established in vitro or in vivo functional studies supportive of a damaging effect on the gene or gene product
</t>
    </r>
    <r>
      <rPr>
        <b/>
        <u/>
        <sz val="9"/>
        <color theme="1"/>
        <rFont val="Verdana"/>
        <family val="2"/>
      </rPr>
      <t>Note:</t>
    </r>
    <r>
      <rPr>
        <sz val="9"/>
        <color theme="1"/>
        <rFont val="Verdana"/>
        <family val="2"/>
      </rPr>
      <t xml:space="preserve"> Functional studies that have been validated and shown to be reproducible and robust in a clinical diagnostic laboratory setting are considered the most well established.</t>
    </r>
  </si>
  <si>
    <r>
      <t xml:space="preserve">The prevalence of the variant in affected individuals is significantly increased compared with the prevalence in controls
</t>
    </r>
    <r>
      <rPr>
        <b/>
        <u/>
        <sz val="9"/>
        <color theme="1"/>
        <rFont val="Verdana"/>
        <family val="2"/>
      </rPr>
      <t>Note 1:</t>
    </r>
    <r>
      <rPr>
        <sz val="9"/>
        <color theme="1"/>
        <rFont val="Verdana"/>
        <family val="2"/>
      </rPr>
      <t xml:space="preserve"> Relative risk or OR, as obtained from case–control studies, is &gt;5.0, and the confidence interval around the estimate of relative risk or OR does not include 1.0. See the article for detailed guidance.
</t>
    </r>
    <r>
      <rPr>
        <b/>
        <u/>
        <sz val="9"/>
        <color theme="1"/>
        <rFont val="Verdana"/>
        <family val="2"/>
      </rPr>
      <t>Note 2:</t>
    </r>
    <r>
      <rPr>
        <sz val="9"/>
        <color theme="1"/>
        <rFont val="Verdana"/>
        <family val="2"/>
      </rPr>
      <t xml:space="preserve"> In instances of very rare variants where case–control studies may not reach statistical significance, the prior observation of the variant in multiple unrelated patients with the same phenotype, and its absence in controls, may be used as moderate level of evidence.</t>
    </r>
  </si>
  <si>
    <r>
      <t xml:space="preserve">Absent from controls (or at extremely low frequency if recessive) in Exome Sequencing Project, 1000 Genomes Project, or Exome Aggregation Consortium
</t>
    </r>
    <r>
      <rPr>
        <b/>
        <u/>
        <sz val="9"/>
        <color theme="1"/>
        <rFont val="Verdana"/>
        <family val="2"/>
      </rPr>
      <t>Caveat:</t>
    </r>
    <r>
      <rPr>
        <sz val="9"/>
        <color theme="1"/>
        <rFont val="Verdana"/>
        <family val="2"/>
      </rPr>
      <t xml:space="preserve"> Population data for insertions/deletions may be poorly called by next-generation sequencing.</t>
    </r>
  </si>
  <si>
    <r>
      <t xml:space="preserve">For recessive disorders, detected in trans with a pathogenic variant
</t>
    </r>
    <r>
      <rPr>
        <b/>
        <u/>
        <sz val="9"/>
        <color theme="1"/>
        <rFont val="Verdana"/>
        <family val="2"/>
      </rPr>
      <t>Note:</t>
    </r>
    <r>
      <rPr>
        <sz val="9"/>
        <color theme="1"/>
        <rFont val="Verdana"/>
        <family val="2"/>
      </rPr>
      <t xml:space="preserve"> This requires testing of parents (or offspring) to determine phase.</t>
    </r>
  </si>
  <si>
    <r>
      <t xml:space="preserve">Novel missense change at an amino acid residue where a different missense change determined to be pathogenic has been seen before
</t>
    </r>
    <r>
      <rPr>
        <b/>
        <u/>
        <sz val="9"/>
        <color theme="1"/>
        <rFont val="Verdana"/>
        <family val="2"/>
      </rPr>
      <t>Example:</t>
    </r>
    <r>
      <rPr>
        <sz val="9"/>
        <color theme="1"/>
        <rFont val="Verdana"/>
        <family val="2"/>
      </rPr>
      <t xml:space="preserve"> Arg156His is pathogenic; now you observe Arg156Cys
</t>
    </r>
    <r>
      <rPr>
        <b/>
        <u/>
        <sz val="9"/>
        <color theme="1"/>
        <rFont val="Verdana"/>
        <family val="2"/>
      </rPr>
      <t>Caveat:</t>
    </r>
    <r>
      <rPr>
        <sz val="9"/>
        <color theme="1"/>
        <rFont val="Verdana"/>
        <family val="2"/>
      </rPr>
      <t xml:space="preserve"> Beware of changes that impact splicing rather than at the amino acid/protein level.</t>
    </r>
  </si>
  <si>
    <r>
      <t xml:space="preserve">Cosegregation with disease in multiple affected family members in a gene definitively known to cause the disease
</t>
    </r>
    <r>
      <rPr>
        <b/>
        <u/>
        <sz val="9"/>
        <color theme="1"/>
        <rFont val="Verdana"/>
        <family val="2"/>
      </rPr>
      <t>Note:</t>
    </r>
    <r>
      <rPr>
        <sz val="9"/>
        <color theme="1"/>
        <rFont val="Verdana"/>
        <family val="2"/>
      </rPr>
      <t xml:space="preserve"> May be used as stronger evidence with increasing segregation data</t>
    </r>
  </si>
  <si>
    <r>
      <t xml:space="preserve">Multiple lines of computational evidence support a deleterious effect on the gene or gene product (conservation, evolutionary, splicing impact, etc.)
</t>
    </r>
    <r>
      <rPr>
        <b/>
        <u/>
        <sz val="9"/>
        <color theme="1"/>
        <rFont val="Verdana"/>
        <family val="2"/>
      </rPr>
      <t>Caveat:</t>
    </r>
    <r>
      <rPr>
        <sz val="9"/>
        <color theme="1"/>
        <rFont val="Verdana"/>
        <family val="2"/>
      </rPr>
      <t xml:space="preserve"> Because many in silico algorithms use the same or very similar input for their predictions, each algorithm should not be counted as an independent criterion. </t>
    </r>
    <r>
      <rPr>
        <b/>
        <sz val="9"/>
        <color theme="1"/>
        <rFont val="Verdana"/>
        <family val="2"/>
      </rPr>
      <t>PP3 can be used only once in any evaluation of a variant.</t>
    </r>
    <r>
      <rPr>
        <b/>
        <sz val="10"/>
        <color theme="1"/>
        <rFont val="Verdana"/>
        <family val="2"/>
      </rPr>
      <t/>
    </r>
  </si>
  <si>
    <r>
      <t xml:space="preserve">Lack of segregation in affected members of a family
</t>
    </r>
    <r>
      <rPr>
        <b/>
        <u/>
        <sz val="9"/>
        <color theme="1"/>
        <rFont val="Verdana"/>
        <family val="2"/>
      </rPr>
      <t>Caveat:</t>
    </r>
    <r>
      <rPr>
        <sz val="9"/>
        <color theme="1"/>
        <rFont val="Verdana"/>
        <family val="2"/>
      </rPr>
      <t xml:space="preserve"> The presence of phenocopies for common phenotypes (i.e., cancer, epilepsy) can mimic lack of segregation among affected individuals. Also, families may have more than one pathogenic variant contributing to an autosomal dominant disorder, further confounding an apparent lack of segregation.</t>
    </r>
  </si>
  <si>
    <r>
      <t xml:space="preserve">Multiple lines of computational evidence suggest no impact on gene or gene product (conservation, evolutionary, splicing impact, etc.)
</t>
    </r>
    <r>
      <rPr>
        <b/>
        <u/>
        <sz val="9"/>
        <color theme="1"/>
        <rFont val="Verdana"/>
        <family val="2"/>
      </rPr>
      <t>Caveat:</t>
    </r>
    <r>
      <rPr>
        <sz val="9"/>
        <color theme="1"/>
        <rFont val="Verdana"/>
        <family val="2"/>
      </rPr>
      <t xml:space="preserve"> Because many in silico algorithms use the same or very similar input for their predictions, each algorithm cannot be counted as an independent criterion. </t>
    </r>
    <r>
      <rPr>
        <b/>
        <sz val="9"/>
        <color theme="1"/>
        <rFont val="Verdana"/>
        <family val="2"/>
      </rPr>
      <t>BP4 can be used only once in any evaluation of a variant.</t>
    </r>
  </si>
  <si>
    <t>Classification evidence:</t>
  </si>
  <si>
    <t>(i) 1 Very strong (PVS1) AND</t>
  </si>
  <si>
    <t>(a) ≥1 Strong (PS1–PS4) OR</t>
  </si>
  <si>
    <t>(b) ≥2 Moderate (PM1–PM6) OR</t>
  </si>
  <si>
    <t>(c) 1 Moderate (PM1–PM6) and 1 supporting (PP1–PP5) OR</t>
  </si>
  <si>
    <t>(d) ≥2 Supporting (PP1–PP5)</t>
  </si>
  <si>
    <t>(ii) ≥2 Strong (PS1–PS4) OR</t>
  </si>
  <si>
    <t>(iii) 1 Strong (PS1–PS4) AND</t>
  </si>
  <si>
    <t>(a)≥3 Moderate (PM1–PM6) OR</t>
  </si>
  <si>
    <t>(b)2 Moderate (PM1–PM6) AND ≥2 Supporting (PP1–PP5) OR</t>
  </si>
  <si>
    <t>(c)1 Moderate (PM1–PM6) AND ≥4 supporting (PP1–PP5)</t>
  </si>
  <si>
    <t>Likely pathogenic</t>
  </si>
  <si>
    <t>(i) 1 Very strong (PVS1) AND 1 moderate (PM1–PM6) OR</t>
  </si>
  <si>
    <t>(ii) 1 Strong (PS1–PS4) AND 1–2 moderate (PM1–PM6) OR</t>
  </si>
  <si>
    <t>(iii) 1 Strong (PS1–PS4) AND ≥2 supporting (PP1–PP5) OR</t>
  </si>
  <si>
    <t>(iv) ≥3 Moderate (PM1–PM6) OR</t>
  </si>
  <si>
    <t>(v) 2 Moderate (PM1–PM6) AND ≥2 supporting (PP1–PP5) OR</t>
  </si>
  <si>
    <t xml:space="preserve">Benign </t>
  </si>
  <si>
    <t>(i) 1 Stand-alone (BA1) OR</t>
  </si>
  <si>
    <t xml:space="preserve">Likely benign </t>
  </si>
  <si>
    <t>(i) 1 Strong (BS1–BS4) and 1 supporting (BP1–BP7) OR</t>
  </si>
  <si>
    <t>Uncertain significance</t>
  </si>
  <si>
    <t>(i) Other criteria shown above are not met OR</t>
  </si>
  <si>
    <t>About this tool:</t>
  </si>
  <si>
    <t>Rules for classification based on criteria</t>
  </si>
  <si>
    <r>
      <t xml:space="preserve">**Macros must be </t>
    </r>
    <r>
      <rPr>
        <b/>
        <sz val="9.5"/>
        <color theme="1"/>
        <rFont val="Verdana"/>
        <family val="2"/>
      </rPr>
      <t xml:space="preserve">enabled </t>
    </r>
    <r>
      <rPr>
        <sz val="9.5"/>
        <color theme="1"/>
        <rFont val="Verdana"/>
        <family val="2"/>
      </rPr>
      <t xml:space="preserve">to use this tool.
This is an automated version of the variant interpretation tool, adapted from </t>
    </r>
    <r>
      <rPr>
        <i/>
        <sz val="9.5"/>
        <color theme="1"/>
        <rFont val="Verdana"/>
        <family val="2"/>
      </rPr>
      <t xml:space="preserve">Standards and guidelines for the interpretation of sequence variants </t>
    </r>
    <r>
      <rPr>
        <sz val="9.5"/>
        <color theme="1"/>
        <rFont val="Verdana"/>
        <family val="2"/>
      </rPr>
      <t xml:space="preserve">(Richards et al, 2015).
The </t>
    </r>
    <r>
      <rPr>
        <b/>
        <i/>
        <sz val="9.5"/>
        <color theme="1"/>
        <rFont val="Verdana"/>
        <family val="2"/>
      </rPr>
      <t>Evidence Framework</t>
    </r>
    <r>
      <rPr>
        <sz val="9.5"/>
        <color theme="1"/>
        <rFont val="Verdana"/>
        <family val="2"/>
      </rPr>
      <t xml:space="preserve"> sheet is based on the chart organising criteria by the evidence type (adapted from </t>
    </r>
    <r>
      <rPr>
        <b/>
        <sz val="9.5"/>
        <color theme="1"/>
        <rFont val="Verdana"/>
        <family val="2"/>
      </rPr>
      <t>Figure 1</t>
    </r>
    <r>
      <rPr>
        <sz val="9.5"/>
        <color theme="1"/>
        <rFont val="Verdana"/>
        <family val="2"/>
      </rPr>
      <t xml:space="preserve"> of </t>
    </r>
    <r>
      <rPr>
        <i/>
        <sz val="9.5"/>
        <color theme="1"/>
        <rFont val="Verdana"/>
        <family val="2"/>
      </rPr>
      <t>Richards et al, 2015</t>
    </r>
    <r>
      <rPr>
        <sz val="9.5"/>
        <color theme="1"/>
        <rFont val="Verdana"/>
        <family val="2"/>
      </rPr>
      <t xml:space="preserve">). Checkboxes can be selected and the sheet will generate the classification accordingly. Click </t>
    </r>
    <r>
      <rPr>
        <b/>
        <i/>
        <sz val="9.5"/>
        <color theme="1"/>
        <rFont val="Verdana"/>
        <family val="2"/>
      </rPr>
      <t>Uncheck All</t>
    </r>
    <r>
      <rPr>
        <sz val="9.5"/>
        <color theme="1"/>
        <rFont val="Verdana"/>
        <family val="2"/>
      </rPr>
      <t xml:space="preserve"> to uncheck all checkboxes.
The </t>
    </r>
    <r>
      <rPr>
        <b/>
        <i/>
        <sz val="9.5"/>
        <color theme="1"/>
        <rFont val="Verdana"/>
        <family val="2"/>
      </rPr>
      <t>Evidence Categories</t>
    </r>
    <r>
      <rPr>
        <sz val="9.5"/>
        <color theme="1"/>
        <rFont val="Verdana"/>
        <family val="2"/>
      </rPr>
      <t xml:space="preserve">sheet contains more detailed information about each category (adapted from </t>
    </r>
    <r>
      <rPr>
        <b/>
        <sz val="9.5"/>
        <color theme="1"/>
        <rFont val="Verdana"/>
        <family val="2"/>
      </rPr>
      <t xml:space="preserve">Table 3 </t>
    </r>
    <r>
      <rPr>
        <sz val="9.5"/>
        <color theme="1"/>
        <rFont val="Verdana"/>
        <family val="2"/>
      </rPr>
      <t xml:space="preserve">and </t>
    </r>
    <r>
      <rPr>
        <b/>
        <sz val="9.5"/>
        <color theme="1"/>
        <rFont val="Verdana"/>
        <family val="2"/>
      </rPr>
      <t>Table 4</t>
    </r>
    <r>
      <rPr>
        <sz val="9.5"/>
        <color theme="1"/>
        <rFont val="Verdana"/>
        <family val="2"/>
      </rPr>
      <t xml:space="preserve"> of </t>
    </r>
    <r>
      <rPr>
        <i/>
        <sz val="9.5"/>
        <color theme="1"/>
        <rFont val="Verdana"/>
        <family val="2"/>
      </rPr>
      <t>Richards et al, 2015</t>
    </r>
    <r>
      <rPr>
        <sz val="9.5"/>
        <color theme="1"/>
        <rFont val="Verdana"/>
        <family val="2"/>
      </rPr>
      <t xml:space="preserve">). Checkboxes can be selected and the sheet will generate the classification accordingly. Click </t>
    </r>
    <r>
      <rPr>
        <b/>
        <i/>
        <sz val="9.5"/>
        <color theme="1"/>
        <rFont val="Verdana"/>
        <family val="2"/>
      </rPr>
      <t>Uncheck All</t>
    </r>
    <r>
      <rPr>
        <sz val="9.5"/>
        <color theme="1"/>
        <rFont val="Verdana"/>
        <family val="2"/>
      </rPr>
      <t xml:space="preserve"> to uncheck all checkboxes.
The criteria for classification is listed (see right) (adapted from </t>
    </r>
    <r>
      <rPr>
        <b/>
        <sz val="9.5"/>
        <color theme="1"/>
        <rFont val="Verdana"/>
        <family val="2"/>
      </rPr>
      <t>Table 5</t>
    </r>
    <r>
      <rPr>
        <sz val="9.5"/>
        <color theme="1"/>
        <rFont val="Verdana"/>
        <family val="2"/>
      </rPr>
      <t xml:space="preserve"> of </t>
    </r>
    <r>
      <rPr>
        <i/>
        <sz val="9.5"/>
        <color theme="1"/>
        <rFont val="Verdana"/>
        <family val="2"/>
      </rPr>
      <t>Richards et al, 2015</t>
    </r>
    <r>
      <rPr>
        <sz val="9.5"/>
        <color theme="1"/>
        <rFont val="Verdana"/>
        <family val="2"/>
      </rPr>
      <t xml:space="preserve">).
</t>
    </r>
    <r>
      <rPr>
        <b/>
        <sz val="9.5"/>
        <color theme="1"/>
        <rFont val="Verdana"/>
        <family val="2"/>
      </rPr>
      <t>**This is a protected workbook. Users can only derive classification of a variant by selecting checkboxes.
Users are allowed to key in variant information in the cell on the top left corner.</t>
    </r>
  </si>
  <si>
    <r>
      <t xml:space="preserve">Variant information:
</t>
    </r>
    <r>
      <rPr>
        <sz val="8"/>
        <color theme="0" tint="-0.499984740745262"/>
        <rFont val="Verdana"/>
        <family val="2"/>
      </rPr>
      <t>(</t>
    </r>
    <r>
      <rPr>
        <i/>
        <sz val="8"/>
        <color theme="0" tint="-0.499984740745262"/>
        <rFont val="Verdana"/>
        <family val="2"/>
      </rPr>
      <t xml:space="preserve">Gene </t>
    </r>
    <r>
      <rPr>
        <sz val="8"/>
        <color theme="0" tint="-0.499984740745262"/>
        <rFont val="Verdana"/>
        <family val="2"/>
      </rPr>
      <t>c.____ p.____ )</t>
    </r>
  </si>
  <si>
    <r>
      <t xml:space="preserve">Gene  </t>
    </r>
    <r>
      <rPr>
        <b/>
        <sz val="10"/>
        <rFont val="Verdana"/>
        <family val="2"/>
      </rPr>
      <t>c.      p.</t>
    </r>
  </si>
  <si>
    <t>Gene  c.      p.</t>
  </si>
  <si>
    <t xml:space="preserve">Additional supporting details can be entered in this space (if required)
</t>
  </si>
  <si>
    <t>Additional supporting details can be entered in this space (if required)</t>
  </si>
  <si>
    <r>
      <t xml:space="preserve">MAF is too high for disorder (&gt;5% in public databases) </t>
    </r>
    <r>
      <rPr>
        <b/>
        <sz val="10"/>
        <color rgb="FF7030A0"/>
        <rFont val="Verdana"/>
        <family val="2"/>
      </rPr>
      <t>BA1</t>
    </r>
  </si>
  <si>
    <r>
      <t xml:space="preserve">MAF is too high for disorder </t>
    </r>
    <r>
      <rPr>
        <b/>
        <sz val="10"/>
        <color rgb="FF7030A0"/>
        <rFont val="Verdana"/>
        <family val="2"/>
      </rPr>
      <t>BS1</t>
    </r>
  </si>
  <si>
    <r>
      <t>Observation in controls inconsistent with disease penetrance</t>
    </r>
    <r>
      <rPr>
        <b/>
        <sz val="10"/>
        <color rgb="FF7030A0"/>
        <rFont val="Verdana"/>
        <family val="2"/>
      </rPr>
      <t xml:space="preserve"> BS2</t>
    </r>
  </si>
  <si>
    <r>
      <t xml:space="preserve">Nonsegregation with disease </t>
    </r>
    <r>
      <rPr>
        <b/>
        <sz val="10"/>
        <color rgb="FF7030A0"/>
        <rFont val="Verdana"/>
        <family val="2"/>
      </rPr>
      <t xml:space="preserve">BS4
</t>
    </r>
  </si>
  <si>
    <r>
      <t>Multiple lines of computational evidence suggest no impact on gene /gene product</t>
    </r>
    <r>
      <rPr>
        <b/>
        <sz val="10"/>
        <color rgb="FF0070C0"/>
        <rFont val="Verdana"/>
        <family val="2"/>
      </rPr>
      <t xml:space="preserve"> BP4</t>
    </r>
  </si>
  <si>
    <r>
      <t xml:space="preserve">Missense in gene where only truncating cause disease </t>
    </r>
    <r>
      <rPr>
        <b/>
        <sz val="10"/>
        <color rgb="FF0070C0"/>
        <rFont val="Verdana"/>
        <family val="2"/>
      </rPr>
      <t>BP1</t>
    </r>
  </si>
  <si>
    <r>
      <t xml:space="preserve">Silent variant with non predicted splice impact </t>
    </r>
    <r>
      <rPr>
        <b/>
        <sz val="10"/>
        <color rgb="FF0070C0"/>
        <rFont val="Verdana"/>
        <family val="2"/>
      </rPr>
      <t>BP7</t>
    </r>
  </si>
  <si>
    <r>
      <t xml:space="preserve">In-frame indels in repeat w/out known function </t>
    </r>
    <r>
      <rPr>
        <b/>
        <sz val="10"/>
        <color rgb="FF0070C0"/>
        <rFont val="Verdana"/>
        <family val="2"/>
      </rPr>
      <t>BP3</t>
    </r>
  </si>
  <si>
    <r>
      <t>Observed in trans with a dominant variant</t>
    </r>
    <r>
      <rPr>
        <b/>
        <sz val="10"/>
        <color rgb="FF0070C0"/>
        <rFont val="Verdana"/>
        <family val="2"/>
      </rPr>
      <t xml:space="preserve"> BP2</t>
    </r>
  </si>
  <si>
    <r>
      <t>Observed in cis with a pathogenic variant</t>
    </r>
    <r>
      <rPr>
        <b/>
        <sz val="10"/>
        <color rgb="FF0070C0"/>
        <rFont val="Verdana"/>
        <family val="2"/>
      </rPr>
      <t xml:space="preserve"> BP2</t>
    </r>
  </si>
  <si>
    <r>
      <t xml:space="preserve">Reputable source w/out shared data = benign </t>
    </r>
    <r>
      <rPr>
        <b/>
        <sz val="10"/>
        <color rgb="FF0070C0"/>
        <rFont val="Verdana"/>
        <family val="2"/>
      </rPr>
      <t>BP6</t>
    </r>
  </si>
  <si>
    <r>
      <t xml:space="preserve">Found in case with an alternate cause </t>
    </r>
    <r>
      <rPr>
        <b/>
        <sz val="10"/>
        <color rgb="FF0070C0"/>
        <rFont val="Verdana"/>
        <family val="2"/>
      </rPr>
      <t>BP5</t>
    </r>
  </si>
  <si>
    <r>
      <t xml:space="preserve">Missense in gene with low rate of benign missense variants and path. missenses common </t>
    </r>
    <r>
      <rPr>
        <b/>
        <sz val="10"/>
        <color rgb="FF00B050"/>
        <rFont val="Verdana"/>
        <family val="2"/>
      </rPr>
      <t>PP2</t>
    </r>
  </si>
  <si>
    <r>
      <t xml:space="preserve">Cosegregation with disease in multiple affected family members </t>
    </r>
    <r>
      <rPr>
        <b/>
        <sz val="10"/>
        <color rgb="FF00B050"/>
        <rFont val="Verdana"/>
        <family val="2"/>
      </rPr>
      <t>PP1</t>
    </r>
  </si>
  <si>
    <r>
      <t xml:space="preserve">Patient’s phenotype or FHx highly specific for gene </t>
    </r>
    <r>
      <rPr>
        <b/>
        <sz val="10"/>
        <color rgb="FF00B050"/>
        <rFont val="Verdana"/>
        <family val="2"/>
      </rPr>
      <t>PP4</t>
    </r>
  </si>
  <si>
    <r>
      <t xml:space="preserve">Absent in population databases </t>
    </r>
    <r>
      <rPr>
        <b/>
        <sz val="10"/>
        <color rgb="FFDF6613"/>
        <rFont val="Verdana"/>
        <family val="2"/>
      </rPr>
      <t xml:space="preserve">PM2
</t>
    </r>
  </si>
  <si>
    <r>
      <t xml:space="preserve">Protein length changing variant </t>
    </r>
    <r>
      <rPr>
        <b/>
        <sz val="10"/>
        <color rgb="FFDF6613"/>
        <rFont val="Verdana"/>
        <family val="2"/>
      </rPr>
      <t>PM4</t>
    </r>
  </si>
  <si>
    <r>
      <t>Mutational hot spot or well-studied functional domain without benign variation</t>
    </r>
    <r>
      <rPr>
        <b/>
        <sz val="10"/>
        <color rgb="FFDF6613"/>
        <rFont val="Verdana"/>
        <family val="2"/>
      </rPr>
      <t xml:space="preserve"> PM1</t>
    </r>
  </si>
  <si>
    <r>
      <t xml:space="preserve">De novo (without paternity &amp; maternity confirmed) </t>
    </r>
    <r>
      <rPr>
        <b/>
        <sz val="10"/>
        <color rgb="FFDF6613"/>
        <rFont val="Verdana"/>
        <family val="2"/>
      </rPr>
      <t>PM6</t>
    </r>
  </si>
  <si>
    <r>
      <t xml:space="preserve">For recessive disorders, detected in trans with a pathogenic variant </t>
    </r>
    <r>
      <rPr>
        <b/>
        <sz val="10"/>
        <color rgb="FFDF6613"/>
        <rFont val="Verdana"/>
        <family val="2"/>
      </rPr>
      <t xml:space="preserve">PM3
</t>
    </r>
  </si>
  <si>
    <r>
      <t xml:space="preserve">Well-established functional studies show a deleterious effect </t>
    </r>
    <r>
      <rPr>
        <b/>
        <sz val="10"/>
        <color rgb="FFFF0000"/>
        <rFont val="Verdana"/>
        <family val="2"/>
      </rPr>
      <t xml:space="preserve">PS3
</t>
    </r>
  </si>
  <si>
    <r>
      <t xml:space="preserve">De novo (paternity and maternity confirmed) </t>
    </r>
    <r>
      <rPr>
        <b/>
        <sz val="10"/>
        <color rgb="FFFF0000"/>
        <rFont val="Verdana"/>
        <family val="2"/>
      </rPr>
      <t>PS2</t>
    </r>
  </si>
  <si>
    <r>
      <t xml:space="preserve">Multiple lines of computational
evidence support a deleterious effect on the gene / gene product  </t>
    </r>
    <r>
      <rPr>
        <b/>
        <sz val="10"/>
        <color rgb="FF00B050"/>
        <rFont val="Verdana"/>
        <family val="2"/>
      </rPr>
      <t xml:space="preserve">PP3
</t>
    </r>
  </si>
  <si>
    <r>
      <t xml:space="preserve">Prevalence in affecteds statistically increased over controls </t>
    </r>
    <r>
      <rPr>
        <b/>
        <sz val="10"/>
        <color rgb="FFFF0000"/>
        <rFont val="Verdana"/>
        <family val="2"/>
      </rPr>
      <t xml:space="preserve">PS4
</t>
    </r>
    <r>
      <rPr>
        <i/>
        <sz val="8"/>
        <rFont val="Verdana"/>
        <family val="2"/>
      </rPr>
      <t>Note: should have ≥ 1 reported affected case</t>
    </r>
  </si>
  <si>
    <r>
      <t xml:space="preserve">Same amino acid change as an established pathogenic variant </t>
    </r>
    <r>
      <rPr>
        <b/>
        <sz val="10"/>
        <color rgb="FFFF0000"/>
        <rFont val="Verdana"/>
        <family val="2"/>
      </rPr>
      <t xml:space="preserve">PS1
</t>
    </r>
    <r>
      <rPr>
        <b/>
        <sz val="9"/>
        <color rgb="FFFF0000"/>
        <rFont val="Verdana"/>
        <family val="2"/>
      </rPr>
      <t xml:space="preserve">
</t>
    </r>
    <r>
      <rPr>
        <i/>
        <sz val="8"/>
        <rFont val="Verdana"/>
        <family val="2"/>
      </rPr>
      <t xml:space="preserve">Note: functional studies should have been done to establish pathogenicity
</t>
    </r>
    <r>
      <rPr>
        <i/>
        <sz val="10"/>
        <rFont val="Verdana"/>
        <family val="2"/>
      </rPr>
      <t xml:space="preserve">
</t>
    </r>
  </si>
  <si>
    <r>
      <t xml:space="preserve">Novel missense change at an amino acid residue where a different pathogenic missense change has been seen before </t>
    </r>
    <r>
      <rPr>
        <b/>
        <sz val="10"/>
        <color rgb="FFDF6613"/>
        <rFont val="Verdana"/>
        <family val="2"/>
      </rPr>
      <t xml:space="preserve">PM5
</t>
    </r>
    <r>
      <rPr>
        <i/>
        <sz val="8"/>
        <rFont val="Verdana"/>
        <family val="2"/>
      </rPr>
      <t>Note: functional studies should have been done for reported missense change</t>
    </r>
    <r>
      <rPr>
        <i/>
        <sz val="9"/>
        <rFont val="Verdana"/>
        <family val="2"/>
      </rPr>
      <t xml:space="preserve">
</t>
    </r>
  </si>
  <si>
    <r>
      <t xml:space="preserve">Predicted null variant in a gene where LOF is a known mechanism of disease </t>
    </r>
    <r>
      <rPr>
        <b/>
        <sz val="10"/>
        <color rgb="FFC00000"/>
        <rFont val="Verdana"/>
        <family val="2"/>
      </rPr>
      <t xml:space="preserve">PVS1
</t>
    </r>
    <r>
      <rPr>
        <b/>
        <sz val="8"/>
        <color rgb="FFC00000"/>
        <rFont val="Verdana"/>
        <family val="2"/>
      </rPr>
      <t xml:space="preserve">
</t>
    </r>
  </si>
  <si>
    <r>
      <t xml:space="preserve">Reputable source = pathogenic </t>
    </r>
    <r>
      <rPr>
        <b/>
        <sz val="10"/>
        <color rgb="FF00B050"/>
        <rFont val="Verdana"/>
        <family val="2"/>
      </rPr>
      <t xml:space="preserve">PP5
</t>
    </r>
    <r>
      <rPr>
        <i/>
        <sz val="8"/>
        <rFont val="Verdana"/>
        <family val="2"/>
      </rPr>
      <t>e.g. HGMD, ClinVar, only one case report</t>
    </r>
  </si>
  <si>
    <t>Name, date</t>
  </si>
  <si>
    <r>
      <t xml:space="preserve">Well-established functional studies show no deleterious effect </t>
    </r>
    <r>
      <rPr>
        <b/>
        <sz val="10"/>
        <color rgb="FF7030A0"/>
        <rFont val="Verdana"/>
        <family val="2"/>
      </rPr>
      <t xml:space="preserve">BS3
</t>
    </r>
  </si>
  <si>
    <t>Updated by:</t>
  </si>
  <si>
    <r>
      <t xml:space="preserve">Variant information:
</t>
    </r>
    <r>
      <rPr>
        <sz val="8"/>
        <color theme="0" tint="-0.499984740745262"/>
        <rFont val="Verdana"/>
        <family val="2"/>
      </rPr>
      <t>(</t>
    </r>
    <r>
      <rPr>
        <i/>
        <sz val="8"/>
        <color theme="0" tint="-0.499984740745262"/>
        <rFont val="Verdana"/>
        <family val="2"/>
      </rPr>
      <t>Gene</t>
    </r>
    <r>
      <rPr>
        <sz val="8"/>
        <color theme="0" tint="-0.499984740745262"/>
        <rFont val="Verdana"/>
        <family val="2"/>
      </rPr>
      <t xml:space="preserve"> c.____ p.____ )</t>
    </r>
  </si>
  <si>
    <t>Last updated by
(Date + Initials)</t>
  </si>
  <si>
    <t>Justification</t>
  </si>
  <si>
    <t>Mutation, associated phenotype and reference</t>
  </si>
  <si>
    <t>Other mutations identified at this position</t>
  </si>
  <si>
    <t>PubMed</t>
  </si>
  <si>
    <t>Literature Search</t>
  </si>
  <si>
    <t>Mutation Taster
Distance from splice site</t>
  </si>
  <si>
    <t>Human Splice Finder</t>
  </si>
  <si>
    <t>Splicing predictions</t>
  </si>
  <si>
    <t>Consensus (SIFT, Polyphen2, MutationTaster, AlignGVGD)</t>
  </si>
  <si>
    <t>In silico results</t>
  </si>
  <si>
    <t>No</t>
  </si>
  <si>
    <t>Is the variant in a functional domain/motif/affect a cysteine in an EGF repeat?</t>
  </si>
  <si>
    <t>Conserved across all species compared?</t>
  </si>
  <si>
    <t>Human, Ptroglodytes, Mmulatta, Fcatus, Mmusculus, Ggallus, Trubripes, Drerio, Dmelanogaster, Celegans, Xtropicalis
Primates (Chimp, gorilla, orangutan, gibbon, rhesus, crab-eating macaque, baboon, green monkey, marmoset, squirrel monkey, bushbaby), mouse, dog, elephant, chicken</t>
  </si>
  <si>
    <t>Species compared</t>
  </si>
  <si>
    <t>Nucleotide/Amino Acid Conservation</t>
  </si>
  <si>
    <t>Local database (GIS)</t>
  </si>
  <si>
    <t>PRISM Beacon</t>
  </si>
  <si>
    <t>1000 genomes</t>
  </si>
  <si>
    <t>Not listed</t>
  </si>
  <si>
    <t>Exome Variant Server</t>
  </si>
  <si>
    <t>ExAC</t>
  </si>
  <si>
    <t>dbSNP</t>
  </si>
  <si>
    <t>Sequence Variant Databases</t>
  </si>
  <si>
    <t>Locus-specific databases</t>
  </si>
  <si>
    <t>ClinVar</t>
  </si>
  <si>
    <t>HGMD</t>
  </si>
  <si>
    <t>Mutation Databases Searches</t>
  </si>
  <si>
    <t>Likely benign</t>
  </si>
  <si>
    <t>Overall interpretation</t>
  </si>
  <si>
    <t>Exon</t>
  </si>
  <si>
    <t>Genomic Coordinates</t>
  </si>
  <si>
    <t>Polarity / charge</t>
  </si>
  <si>
    <t>Amino acid change</t>
  </si>
  <si>
    <t>Variant</t>
  </si>
  <si>
    <t>Transcript</t>
  </si>
  <si>
    <t>Gene</t>
  </si>
  <si>
    <t>Variant classification (based on ACMG evidence framework)</t>
  </si>
  <si>
    <t>Last Updated / Reviewed</t>
  </si>
  <si>
    <t>Purpose of review
(Reviewed for report / Semi-Annual Review)</t>
  </si>
  <si>
    <t>BRCA2</t>
  </si>
  <si>
    <t>chr13:32906558</t>
  </si>
  <si>
    <t>10/27</t>
  </si>
  <si>
    <t>p.Cys315Ser</t>
  </si>
  <si>
    <t>c.943T&gt;A</t>
  </si>
  <si>
    <t>NM_000059</t>
  </si>
  <si>
    <t>CM024726 Oesophageal carcinoma ?</t>
  </si>
  <si>
    <t>Benign (3 submissions)
Likely benign (6 submissions)
Uncertain significance (1 submission)</t>
  </si>
  <si>
    <t>rs79483201</t>
  </si>
  <si>
    <t>MAF =  0.0003740
45 het: 44/8626 (EAS); 1/8626 (SAS)</t>
  </si>
  <si>
    <t>MAF  &lt; 0.01</t>
  </si>
  <si>
    <t>MAF: 0.007575758 (Chinese)</t>
  </si>
  <si>
    <t>No (Moderate)</t>
  </si>
  <si>
    <t>Activation of an exonic cryptic acceptor site,
with presence of one or more cryptic branch point(s). Potential alteration of splicing</t>
  </si>
  <si>
    <t>Splice site changes predicted</t>
  </si>
  <si>
    <t>11948123 - variant identified in germline in patient with Esophageal Squamous Cell Carcinoma (also had LOH near the at codon 372, but study team could not determine whether the LOH was in the wild-type or mutant allele)
27658390 - variant identified in 3 Korean breast cancer patients and 2 healthy controls, classified as uncertain significance</t>
  </si>
  <si>
    <t>BS2 - Reported in ExAC and 1000genomes ; PMID27658390 also shows inconsistency with disease penetrance (recent publication)
BP4 - In silico predictions not suggestive of variant being deleterious 
BP6 - Reported in ClinVar as Benign/Likely benign multiple times</t>
  </si>
  <si>
    <t>SIFT: Tolerated (0.63)
Polyphen2: Benign (0.289)
MutationTaster: Polymorphism
AlignGVGD: Benign</t>
  </si>
  <si>
    <t>23 March 2018 SK</t>
  </si>
  <si>
    <t>Reviewed for BRCA Germline Reporting
Reviewed for Semi-Annual Review June 2018, no change</t>
  </si>
  <si>
    <t>Effect / Polarity / charge</t>
  </si>
  <si>
    <t>Purpose of review
(Reviewed for reporting / Semi-Annual Review)</t>
  </si>
  <si>
    <t>NM_000525</t>
  </si>
  <si>
    <t>c.602G&gt;A</t>
  </si>
  <si>
    <t>p.Arg201His</t>
  </si>
  <si>
    <t>https://www.ncbi.nlm.nih.gov/refseq/</t>
  </si>
  <si>
    <t>https://mutalyzer.nl</t>
  </si>
  <si>
    <t>https://www.uniprot.org/uniprot/</t>
  </si>
  <si>
    <r>
      <t xml:space="preserve">Protein ID: </t>
    </r>
    <r>
      <rPr>
        <b/>
        <sz val="11"/>
        <color theme="1"/>
        <rFont val="Calibri"/>
        <family val="2"/>
        <scheme val="minor"/>
      </rPr>
      <t>Q14654</t>
    </r>
    <r>
      <rPr>
        <sz val="11"/>
        <color theme="1"/>
        <rFont val="Calibri"/>
        <family val="2"/>
        <scheme val="minor"/>
      </rPr>
      <t xml:space="preserve">
&gt; </t>
    </r>
    <r>
      <rPr>
        <b/>
        <sz val="11"/>
        <color theme="1"/>
        <rFont val="Calibri"/>
        <family val="2"/>
        <scheme val="minor"/>
      </rPr>
      <t>KCJ11</t>
    </r>
    <r>
      <rPr>
        <sz val="11"/>
        <color theme="1"/>
        <rFont val="Calibri"/>
        <family val="2"/>
        <scheme val="minor"/>
      </rPr>
      <t xml:space="preserve"> &gt; find position </t>
    </r>
    <r>
      <rPr>
        <b/>
        <sz val="11"/>
        <color theme="1"/>
        <rFont val="Calibri"/>
        <family val="2"/>
        <scheme val="minor"/>
      </rPr>
      <t>201</t>
    </r>
    <r>
      <rPr>
        <sz val="11"/>
        <color theme="1"/>
        <rFont val="Calibri"/>
        <family val="2"/>
        <scheme val="minor"/>
      </rPr>
      <t xml:space="preserve"> (under PNDM2) &gt; click on </t>
    </r>
    <r>
      <rPr>
        <b/>
        <sz val="11"/>
        <color theme="1"/>
        <rFont val="Calibri"/>
        <family val="2"/>
        <scheme val="minor"/>
      </rPr>
      <t>R → H</t>
    </r>
  </si>
  <si>
    <t>chr11:17409037</t>
  </si>
  <si>
    <t>https://www.ncbi.nlm.nih.gov/variation/view/</t>
  </si>
  <si>
    <t>1/1</t>
  </si>
  <si>
    <t>HGMD CM040764: Known disease mutation at this position
HGMD CM055966: Known disease mutaiton at this position</t>
  </si>
  <si>
    <t>www.hgmd.cf.ac.uk/ac/index.php</t>
  </si>
  <si>
    <t>https://www.ncbi.nlm.nih.gov/clinvar/</t>
  </si>
  <si>
    <r>
      <t xml:space="preserve">&gt; search </t>
    </r>
    <r>
      <rPr>
        <b/>
        <sz val="11"/>
        <rFont val="Calibri"/>
        <family val="2"/>
        <scheme val="minor"/>
      </rPr>
      <t xml:space="preserve">KCNJ11[gene] R201H </t>
    </r>
  </si>
  <si>
    <t>Listed in LOVD as pathogenic</t>
  </si>
  <si>
    <t>https://databases.lovd.nl/shared/genes</t>
  </si>
  <si>
    <r>
      <t>&gt; search</t>
    </r>
    <r>
      <rPr>
        <b/>
        <sz val="11"/>
        <rFont val="Calibri"/>
        <family val="2"/>
        <scheme val="minor"/>
      </rPr>
      <t xml:space="preserve"> KCNJ11</t>
    </r>
    <r>
      <rPr>
        <sz val="11"/>
        <rFont val="Calibri"/>
        <family val="2"/>
        <scheme val="minor"/>
      </rPr>
      <t xml:space="preserve"> &gt; select </t>
    </r>
    <r>
      <rPr>
        <b/>
        <sz val="11"/>
        <rFont val="Calibri"/>
        <family val="2"/>
        <scheme val="minor"/>
      </rPr>
      <t>Unique public DNA variants reported</t>
    </r>
    <r>
      <rPr>
        <sz val="11"/>
        <rFont val="Calibri"/>
        <family val="2"/>
        <scheme val="minor"/>
      </rPr>
      <t xml:space="preserve"> &gt; search </t>
    </r>
    <r>
      <rPr>
        <b/>
        <sz val="11"/>
        <rFont val="Calibri"/>
        <family val="2"/>
        <scheme val="minor"/>
      </rPr>
      <t>c.602G&gt;A</t>
    </r>
    <r>
      <rPr>
        <sz val="11"/>
        <rFont val="Calibri"/>
        <family val="2"/>
        <scheme val="minor"/>
      </rPr>
      <t xml:space="preserve">
Data can be used to populate genomic location (hg19) and rs number</t>
    </r>
  </si>
  <si>
    <t>HELP</t>
  </si>
  <si>
    <t>DATABASE TO SEARCH</t>
  </si>
  <si>
    <t>http://www.ncbi.nlm.nih.gov/snp/</t>
  </si>
  <si>
    <t>http://gnomad.broadinstitute.org</t>
  </si>
  <si>
    <t>http://evs.gs.washington.edu/EVS/</t>
  </si>
  <si>
    <t>https://www.ncbi.nlm.nih.gov/variation/tools/1000genomes/</t>
  </si>
  <si>
    <t>beacon.prism-genomics.org</t>
  </si>
  <si>
    <t>Not present</t>
  </si>
  <si>
    <t>No access</t>
  </si>
  <si>
    <r>
      <t xml:space="preserve">&gt; search </t>
    </r>
    <r>
      <rPr>
        <b/>
        <sz val="11"/>
        <rFont val="Calibri"/>
        <family val="2"/>
        <scheme val="minor"/>
      </rPr>
      <t xml:space="preserve">KCNJ11 11:17409037 </t>
    </r>
  </si>
  <si>
    <r>
      <t xml:space="preserve">&gt; search </t>
    </r>
    <r>
      <rPr>
        <b/>
        <sz val="11"/>
        <rFont val="Calibri"/>
        <family val="2"/>
        <scheme val="minor"/>
      </rPr>
      <t>11-17409037-C-T</t>
    </r>
  </si>
  <si>
    <r>
      <t xml:space="preserve">&gt; search </t>
    </r>
    <r>
      <rPr>
        <b/>
        <sz val="11"/>
        <rFont val="Calibri"/>
        <family val="2"/>
        <scheme val="minor"/>
      </rPr>
      <t>11:17409037</t>
    </r>
    <r>
      <rPr>
        <sz val="11"/>
        <rFont val="Calibri"/>
        <family val="2"/>
        <scheme val="minor"/>
      </rPr>
      <t xml:space="preserve"> </t>
    </r>
    <r>
      <rPr>
        <b/>
        <u/>
        <sz val="11"/>
        <rFont val="Calibri"/>
        <family val="2"/>
        <scheme val="minor"/>
      </rPr>
      <t>or</t>
    </r>
    <r>
      <rPr>
        <sz val="11"/>
        <rFont val="Calibri"/>
        <family val="2"/>
        <scheme val="minor"/>
      </rPr>
      <t xml:space="preserve"> rs80356624</t>
    </r>
  </si>
  <si>
    <r>
      <t>&gt; search</t>
    </r>
    <r>
      <rPr>
        <b/>
        <sz val="11"/>
        <rFont val="Calibri"/>
        <family val="2"/>
        <scheme val="minor"/>
      </rPr>
      <t xml:space="preserve"> 11:17409037</t>
    </r>
    <r>
      <rPr>
        <sz val="11"/>
        <rFont val="Calibri"/>
        <family val="2"/>
        <scheme val="minor"/>
      </rPr>
      <t xml:space="preserve"> (make sure is is </t>
    </r>
    <r>
      <rPr>
        <b/>
        <sz val="11"/>
        <rFont val="Calibri"/>
        <family val="2"/>
        <scheme val="minor"/>
      </rPr>
      <t>GRCh37</t>
    </r>
    <r>
      <rPr>
        <sz val="11"/>
        <rFont val="Calibri"/>
        <family val="2"/>
        <scheme val="minor"/>
      </rPr>
      <t>) &gt; see if genomic location or rs is listed</t>
    </r>
  </si>
  <si>
    <t>Regulatory features:
H3K36me3, Histone: Histone 3 Lysine 36 Tri-Methylation
H3K27me3, Histone: Histone 3 Lysine 27 Tri-Methylation
Protein features:
Chain (positions 1 - 390 aa): ATP-sensitive inward rectifier potassium channel 11
TOPO_DOM cytoplasmic - lost (167 - 390 aa)</t>
  </si>
  <si>
    <t>www.mutationtaster.org</t>
  </si>
  <si>
    <r>
      <t xml:space="preserve">&gt; </t>
    </r>
    <r>
      <rPr>
        <b/>
        <sz val="11"/>
        <rFont val="Calibri"/>
        <family val="2"/>
        <scheme val="minor"/>
      </rPr>
      <t>KCNJ11</t>
    </r>
    <r>
      <rPr>
        <sz val="11"/>
        <rFont val="Calibri"/>
        <family val="2"/>
        <scheme val="minor"/>
      </rPr>
      <t xml:space="preserve"> &gt; select transcript </t>
    </r>
    <r>
      <rPr>
        <b/>
        <sz val="11"/>
        <rFont val="Calibri"/>
        <family val="2"/>
        <scheme val="minor"/>
      </rPr>
      <t>NM_00525</t>
    </r>
    <r>
      <rPr>
        <sz val="11"/>
        <rFont val="Calibri"/>
        <family val="2"/>
        <scheme val="minor"/>
      </rPr>
      <t xml:space="preserve"> &gt; single base position </t>
    </r>
    <r>
      <rPr>
        <b/>
        <sz val="11"/>
        <rFont val="Calibri"/>
        <family val="2"/>
        <scheme val="minor"/>
      </rPr>
      <t>602</t>
    </r>
    <r>
      <rPr>
        <sz val="11"/>
        <rFont val="Calibri"/>
        <family val="2"/>
        <scheme val="minor"/>
      </rPr>
      <t xml:space="preserve"> and new base </t>
    </r>
    <r>
      <rPr>
        <b/>
        <sz val="11"/>
        <rFont val="Calibri"/>
        <family val="2"/>
        <scheme val="minor"/>
      </rPr>
      <t>T</t>
    </r>
  </si>
  <si>
    <r>
      <rPr>
        <sz val="11"/>
        <rFont val="Calibri"/>
        <family val="2"/>
      </rPr>
      <t xml:space="preserve">Protein ID: </t>
    </r>
    <r>
      <rPr>
        <b/>
        <sz val="11"/>
        <rFont val="Calibri"/>
        <family val="2"/>
      </rPr>
      <t>Q14654</t>
    </r>
    <r>
      <rPr>
        <sz val="11"/>
        <rFont val="Calibri"/>
        <family val="2"/>
      </rPr>
      <t xml:space="preserve">
&gt; </t>
    </r>
    <r>
      <rPr>
        <b/>
        <sz val="11"/>
        <rFont val="Calibri"/>
        <family val="2"/>
        <scheme val="minor"/>
      </rPr>
      <t>KCJ11</t>
    </r>
    <r>
      <rPr>
        <sz val="11"/>
        <rFont val="Calibri"/>
        <family val="2"/>
        <scheme val="minor"/>
      </rPr>
      <t xml:space="preserve"> &gt; find position </t>
    </r>
    <r>
      <rPr>
        <b/>
        <sz val="11"/>
        <rFont val="Calibri"/>
        <family val="2"/>
        <scheme val="minor"/>
      </rPr>
      <t>201</t>
    </r>
    <r>
      <rPr>
        <sz val="11"/>
        <rFont val="Calibri"/>
        <family val="2"/>
        <scheme val="minor"/>
      </rPr>
      <t xml:space="preserve"> (under PNDM2) &gt; click on R </t>
    </r>
    <r>
      <rPr>
        <sz val="11"/>
        <rFont val="Calibri"/>
        <family val="2"/>
      </rPr>
      <t>→H</t>
    </r>
  </si>
  <si>
    <t>agvgd.hci.utah.edu/index.php</t>
  </si>
  <si>
    <t>genetics.bwh.harvard.edu/pph2/</t>
  </si>
  <si>
    <t>https://sift.bii.a-star.edu.sg</t>
  </si>
  <si>
    <r>
      <t xml:space="preserve">Input: </t>
    </r>
    <r>
      <rPr>
        <b/>
        <sz val="11"/>
        <rFont val="Calibri"/>
        <family val="2"/>
        <scheme val="minor"/>
      </rPr>
      <t>11,17409037,G,A</t>
    </r>
    <r>
      <rPr>
        <sz val="11"/>
        <rFont val="Calibri"/>
        <family val="2"/>
        <scheme val="minor"/>
      </rPr>
      <t xml:space="preserve"> 	</t>
    </r>
  </si>
  <si>
    <r>
      <t xml:space="preserve">Either enter the Protein identifier or FASTA sequence but not both
&gt; Sequence in FASTA format - obtain from UniProtKB
&gt; Position - </t>
    </r>
    <r>
      <rPr>
        <b/>
        <sz val="11"/>
        <rFont val="Calibri"/>
        <family val="2"/>
        <scheme val="minor"/>
      </rPr>
      <t>201</t>
    </r>
    <r>
      <rPr>
        <sz val="11"/>
        <rFont val="Calibri"/>
        <family val="2"/>
        <scheme val="minor"/>
      </rPr>
      <t xml:space="preserve">
&gt; AA1 -</t>
    </r>
    <r>
      <rPr>
        <b/>
        <sz val="11"/>
        <rFont val="Calibri"/>
        <family val="2"/>
        <scheme val="minor"/>
      </rPr>
      <t xml:space="preserve"> R</t>
    </r>
    <r>
      <rPr>
        <sz val="11"/>
        <rFont val="Calibri"/>
        <family val="2"/>
        <scheme val="minor"/>
      </rPr>
      <t xml:space="preserve">; AA2 - </t>
    </r>
    <r>
      <rPr>
        <b/>
        <sz val="11"/>
        <rFont val="Calibri"/>
        <family val="2"/>
        <scheme val="minor"/>
      </rPr>
      <t>H</t>
    </r>
  </si>
  <si>
    <r>
      <t xml:space="preserve">&gt; </t>
    </r>
    <r>
      <rPr>
        <b/>
        <sz val="11"/>
        <rFont val="Calibri"/>
        <family val="2"/>
        <scheme val="minor"/>
      </rPr>
      <t>rs80356624</t>
    </r>
    <r>
      <rPr>
        <sz val="11"/>
        <rFont val="Calibri"/>
        <family val="2"/>
        <scheme val="minor"/>
      </rPr>
      <t xml:space="preserve"> to search under Genome Tools dbSNP rsIDS </t>
    </r>
    <r>
      <rPr>
        <b/>
        <sz val="11"/>
        <rFont val="Calibri"/>
        <family val="2"/>
        <scheme val="minor"/>
      </rPr>
      <t>or
&gt; 11,17409037,1,C/T</t>
    </r>
    <r>
      <rPr>
        <sz val="11"/>
        <rFont val="Calibri"/>
        <family val="2"/>
        <scheme val="minor"/>
      </rPr>
      <t xml:space="preserve"> to search under SIFT nonsyn SNV (genome scale)</t>
    </r>
  </si>
  <si>
    <t>MutationTaster: Disease causing (0.9999)</t>
  </si>
  <si>
    <t>Provean: Deleterious (-4.87)</t>
  </si>
  <si>
    <t>SIFT: Damaging (0.000)</t>
  </si>
  <si>
    <t>Mutation assessor: High functional impact (4.235)</t>
  </si>
  <si>
    <t>www.umd.be/HSF3/</t>
  </si>
  <si>
    <t>Access requires licence / paid subscription</t>
  </si>
  <si>
    <t xml:space="preserve">Access requires licence / paid subscription; however the HGMD information can be obtained from </t>
  </si>
  <si>
    <t xml:space="preserve">Consensus
Sites that can be used:
- AlignGVGD
- DANN
- EIGEN
- FATHMM
- Mutation Assessor
- MutationTaster
- Polyphen2
- REVEL
- SIFT
</t>
  </si>
  <si>
    <r>
      <t xml:space="preserve">&gt; chromosome: </t>
    </r>
    <r>
      <rPr>
        <b/>
        <sz val="11"/>
        <color theme="1"/>
        <rFont val="Calibri"/>
        <family val="2"/>
        <scheme val="minor"/>
      </rPr>
      <t>11</t>
    </r>
    <r>
      <rPr>
        <sz val="11"/>
        <color theme="1"/>
        <rFont val="Calibri"/>
        <family val="2"/>
        <scheme val="minor"/>
      </rPr>
      <t xml:space="preserve"> &gt; position: </t>
    </r>
    <r>
      <rPr>
        <b/>
        <sz val="11"/>
        <color theme="1"/>
        <rFont val="Calibri"/>
        <family val="2"/>
        <scheme val="minor"/>
      </rPr>
      <t xml:space="preserve">17409037 </t>
    </r>
    <r>
      <rPr>
        <sz val="11"/>
        <color theme="1"/>
        <rFont val="Calibri"/>
        <family val="2"/>
        <scheme val="minor"/>
      </rPr>
      <t xml:space="preserve">&gt; allele: </t>
    </r>
    <r>
      <rPr>
        <b/>
        <sz val="11"/>
        <color theme="1"/>
        <rFont val="Calibri"/>
        <family val="2"/>
        <scheme val="minor"/>
      </rPr>
      <t>A</t>
    </r>
  </si>
  <si>
    <t>Cannot be filled as access not given</t>
  </si>
  <si>
    <t>Cannot be filled as not subscribed</t>
  </si>
  <si>
    <t>Disease causing
Distance from splice site: 1170
Acceptor marginally increased at gDNA position 1836
Acceptor marginally increased at gDNA position 1845
Donor increased at gDNA position 1847
Donor gained at gDNA position 1838</t>
  </si>
  <si>
    <t>More than 100 PMID publications linked to this variant. These include the following:
PMID:28480665 - DEND syndrome in Korean patient with heterozygous R201H mutation successfully treated with sulfonylurea.
PMID:15448106 - Detected in Norwegian in proband with GCK-negative PND.
PMID:15448107 - Delected in French patients with PND.
PMID:15531505 - Detected in Israeli infant with PNDM.
PMID:15838686 - Identified in subject with neonatal diabetes with successful transfer to sustained-release sulphonylurea therapy (case report).
PMID:16087682 - Functional analyses showing that R201H increases the current magnitude of heterozygous K(ATP) channels in two ways; by increasing MgATP activation and by decreasing ATP inhibition.
PMID:16205880 - Transient NDM associated with R210H in Italy.
PMID:16339180 - Functional study showing the effects of R201H causing neonatal diabetes on cloned cardiac KATP channels.
Other PMID publications which list this variant in diabetes:
PMID: 16602010, 16609879, 16636122, 16670688, 16731837, 16816952, 16885550, 17021801, 17065345, 17213273, 17327377, 17475937 and another 20.</t>
  </si>
  <si>
    <t>http://pubmed.ncbi.nlm.nih.gov</t>
  </si>
  <si>
    <t>https://mastermind.genomenon.com</t>
  </si>
  <si>
    <t>Requires login account</t>
  </si>
  <si>
    <t>c.602G&gt;T p.Arg201Leu - linked to permanent neonatal diabetes mellitus
p.Arg201Cys - linked to PNDM in large cohort of French patients (PMID:15448107)</t>
  </si>
  <si>
    <t xml:space="preserve">  </t>
  </si>
  <si>
    <t>OTHER WEBSITES TO USE NOT COVERED IN THIS WORKSHOP</t>
  </si>
  <si>
    <t>Gene - Transcript</t>
  </si>
  <si>
    <t>www.lrg-sequence.org</t>
  </si>
  <si>
    <t>Gene - Genomic coordinates</t>
  </si>
  <si>
    <t>https://genome-asia.ucsc.edu/</t>
  </si>
  <si>
    <t>https://varsome.com</t>
  </si>
  <si>
    <t>http://www.genomizer.com/</t>
  </si>
  <si>
    <t>https://arup.utah.edu/database/BRCA/</t>
  </si>
  <si>
    <t>Requires login</t>
  </si>
  <si>
    <t>Mutation Databases or search engines</t>
  </si>
  <si>
    <t>YOU TUBE VIDEO TO WATCH</t>
  </si>
  <si>
    <t>https://www.youtube.com/watch?v=Yb7tBV3AzQ4</t>
  </si>
  <si>
    <t>Given</t>
  </si>
  <si>
    <t>Only to be filled in after 2.WorkshopEvidenceFramework has been checked</t>
  </si>
  <si>
    <t>provean.jcvi.org/in-depth</t>
  </si>
  <si>
    <r>
      <t xml:space="preserve">Gives the PROVEAN and SIFT predictions and dbSNP_ID (if any)
&gt; PROVEAN Genome Variants - </t>
    </r>
    <r>
      <rPr>
        <b/>
        <sz val="11"/>
        <rFont val="Calibri"/>
        <family val="2"/>
        <scheme val="minor"/>
      </rPr>
      <t>Human</t>
    </r>
    <r>
      <rPr>
        <sz val="11"/>
        <rFont val="Calibri"/>
        <family val="2"/>
        <scheme val="minor"/>
      </rPr>
      <t xml:space="preserve">
&gt; List of genomic co-ords. and variants: </t>
    </r>
    <r>
      <rPr>
        <b/>
        <sz val="11"/>
        <rFont val="Calibri"/>
        <family val="2"/>
        <scheme val="minor"/>
      </rPr>
      <t>11,17409037,C,T</t>
    </r>
  </si>
  <si>
    <t>http://mutationassessor.org/r3/</t>
  </si>
  <si>
    <r>
      <t xml:space="preserve">&gt; Upload FASTA (choose the canonical sequence) &gt; paste </t>
    </r>
    <r>
      <rPr>
        <b/>
        <sz val="11"/>
        <rFont val="Calibri"/>
        <family val="2"/>
        <scheme val="minor"/>
      </rPr>
      <t>R201H</t>
    </r>
    <r>
      <rPr>
        <sz val="11"/>
        <rFont val="Calibri"/>
        <family val="2"/>
        <scheme val="minor"/>
      </rPr>
      <t xml:space="preserve"> in the substitution list</t>
    </r>
  </si>
  <si>
    <t>PP5: Classified by ClinVar as Pathogenic (2 stars, multiple submitters, 41 publications, no conflicts). Listed by UniProt as Pathogenic (associated with Diabetes Mellitus, permanent neonatal 2; diabetes mellitus, permanent neonatal; diabetes mellitus, permanent neonatal with neurologic features; permanent neonatal diabetes mellitus 3 (related publications: PMID: 12524280, 15115830, 15448106, 15448107).
PM2: This variant is not found in gnomAD genomes (good gnomAD_genomes coverage = 32.3).
PM5: p.Arg201Leu and p.Arg201Cys classified as Pathogenic by UniProt Variants and confirmed using ACMG.
PP2: gnomAD missense Z-score = 1.65 which is greater than 0.647
PP3: Pathogenic computational verdict (6) vs benign computational verdict (0)</t>
  </si>
  <si>
    <t>KCNJ11  potassium voltage-gated channel subfamily J member 11</t>
  </si>
  <si>
    <r>
      <t xml:space="preserve">&gt; </t>
    </r>
    <r>
      <rPr>
        <b/>
        <sz val="11"/>
        <rFont val="Calibri"/>
        <family val="2"/>
        <scheme val="minor"/>
      </rPr>
      <t>KCNJ11</t>
    </r>
    <r>
      <rPr>
        <sz val="11"/>
        <rFont val="Calibri"/>
        <family val="2"/>
        <scheme val="minor"/>
      </rPr>
      <t xml:space="preserve"> &gt; select transcript </t>
    </r>
    <r>
      <rPr>
        <b/>
        <sz val="11"/>
        <rFont val="Calibri"/>
        <family val="2"/>
        <scheme val="minor"/>
      </rPr>
      <t>NM_00525</t>
    </r>
    <r>
      <rPr>
        <sz val="11"/>
        <rFont val="Calibri"/>
        <family val="2"/>
        <scheme val="minor"/>
      </rPr>
      <t xml:space="preserve"> &gt; single base position </t>
    </r>
    <r>
      <rPr>
        <b/>
        <sz val="11"/>
        <rFont val="Calibri"/>
        <family val="2"/>
        <scheme val="minor"/>
      </rPr>
      <t>602</t>
    </r>
    <r>
      <rPr>
        <sz val="11"/>
        <rFont val="Calibri"/>
        <family val="2"/>
        <scheme val="minor"/>
      </rPr>
      <t xml:space="preserve"> and new base </t>
    </r>
    <r>
      <rPr>
        <b/>
        <sz val="11"/>
        <rFont val="Calibri"/>
        <family val="2"/>
        <scheme val="minor"/>
      </rPr>
      <t>A</t>
    </r>
  </si>
  <si>
    <t>https://www.uniprot.org/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</si>
</sst>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3" x14ac:knownFonts="1">
    <font>
      <sz val="11"/>
      <color theme="1"/>
      <name val="Calibri"/>
      <family val="2"/>
      <scheme val="minor"/>
    </font>
    <font>
      <sz val="11"/>
      <color theme="1"/>
      <name val="Verdana"/>
      <family val="2"/>
    </font>
    <font>
      <sz val="10"/>
      <color theme="1"/>
      <name val="Verdana"/>
      <family val="2"/>
    </font>
    <font>
      <b/>
      <sz val="10"/>
      <color theme="1"/>
      <name val="Verdana"/>
      <family val="2"/>
    </font>
    <font>
      <sz val="10"/>
      <color theme="0" tint="-0.249977111117893"/>
      <name val="Verdana"/>
      <family val="2"/>
    </font>
    <font>
      <sz val="11"/>
      <color theme="0" tint="-0.249977111117893"/>
      <name val="Verdana"/>
      <family val="2"/>
    </font>
    <font>
      <sz val="9"/>
      <color theme="1"/>
      <name val="Verdana"/>
      <family val="2"/>
    </font>
    <font>
      <sz val="8"/>
      <color theme="1"/>
      <name val="Verdana"/>
      <family val="2"/>
    </font>
    <font>
      <b/>
      <sz val="9"/>
      <color theme="1"/>
      <name val="Verdana"/>
      <family val="2"/>
    </font>
    <font>
      <b/>
      <sz val="8"/>
      <color theme="1"/>
      <name val="Verdana"/>
      <family val="2"/>
    </font>
    <font>
      <i/>
      <sz val="8"/>
      <color theme="1"/>
      <name val="Verdana"/>
      <family val="2"/>
    </font>
    <font>
      <b/>
      <sz val="12"/>
      <color theme="1"/>
      <name val="Verdana"/>
      <family val="2"/>
    </font>
    <font>
      <sz val="8"/>
      <name val="Verdana"/>
      <family val="2"/>
    </font>
    <font>
      <b/>
      <sz val="10"/>
      <color rgb="FF7030A0"/>
      <name val="Verdana"/>
      <family val="2"/>
    </font>
    <font>
      <b/>
      <sz val="10"/>
      <color rgb="FF0070C0"/>
      <name val="Verdana"/>
      <family val="2"/>
    </font>
    <font>
      <b/>
      <sz val="10"/>
      <color rgb="FF00B050"/>
      <name val="Verdana"/>
      <family val="2"/>
    </font>
    <font>
      <b/>
      <sz val="10"/>
      <color rgb="FFFF0000"/>
      <name val="Verdana"/>
      <family val="2"/>
    </font>
    <font>
      <sz val="5"/>
      <color theme="1"/>
      <name val="Verdana"/>
      <family val="2"/>
    </font>
    <font>
      <b/>
      <sz val="10"/>
      <name val="Verdana"/>
      <family val="2"/>
    </font>
    <font>
      <sz val="8.5"/>
      <color theme="1"/>
      <name val="Verdana"/>
      <family val="2"/>
    </font>
    <font>
      <b/>
      <sz val="7"/>
      <color theme="1"/>
      <name val="Verdana"/>
      <family val="2"/>
    </font>
    <font>
      <b/>
      <u/>
      <sz val="9"/>
      <color theme="1"/>
      <name val="Verdana"/>
      <family val="2"/>
    </font>
    <font>
      <b/>
      <sz val="10"/>
      <color rgb="FFC00000"/>
      <name val="Verdana"/>
      <family val="2"/>
    </font>
    <font>
      <b/>
      <sz val="10"/>
      <color rgb="FFDF6613"/>
      <name val="Verdana"/>
      <family val="2"/>
    </font>
    <font>
      <sz val="9"/>
      <color rgb="FFC00000"/>
      <name val="Verdana"/>
      <family val="2"/>
    </font>
    <font>
      <i/>
      <sz val="9"/>
      <name val="Verdana"/>
      <family val="2"/>
    </font>
    <font>
      <b/>
      <sz val="10"/>
      <color rgb="FF000000"/>
      <name val="Verdana"/>
      <family val="2"/>
    </font>
    <font>
      <sz val="9.5"/>
      <color theme="1"/>
      <name val="Verdana"/>
      <family val="2"/>
    </font>
    <font>
      <i/>
      <sz val="9.5"/>
      <color theme="1"/>
      <name val="Verdana"/>
      <family val="2"/>
    </font>
    <font>
      <b/>
      <i/>
      <sz val="9.5"/>
      <color theme="1"/>
      <name val="Verdana"/>
      <family val="2"/>
    </font>
    <font>
      <b/>
      <sz val="9.5"/>
      <color theme="1"/>
      <name val="Verdana"/>
      <family val="2"/>
    </font>
    <font>
      <b/>
      <sz val="9"/>
      <name val="Verdana"/>
      <family val="2"/>
    </font>
    <font>
      <i/>
      <sz val="8"/>
      <color theme="0" tint="-0.499984740745262"/>
      <name val="Verdana"/>
      <family val="2"/>
    </font>
    <font>
      <sz val="8"/>
      <color theme="0" tint="-0.499984740745262"/>
      <name val="Verdana"/>
      <family val="2"/>
    </font>
    <font>
      <b/>
      <i/>
      <sz val="10"/>
      <name val="Verdana"/>
      <family val="2"/>
    </font>
    <font>
      <sz val="10"/>
      <color rgb="FF7030A0"/>
      <name val="Verdana"/>
      <family val="2"/>
    </font>
    <font>
      <sz val="10"/>
      <color theme="0" tint="-0.14999847407452621"/>
      <name val="Verdana"/>
      <family val="2"/>
    </font>
    <font>
      <sz val="10"/>
      <color rgb="FF00B050"/>
      <name val="Verdana"/>
      <family val="2"/>
    </font>
    <font>
      <sz val="10"/>
      <color rgb="FF0070C0"/>
      <name val="Verdana"/>
      <family val="2"/>
    </font>
    <font>
      <i/>
      <sz val="10"/>
      <color rgb="FF00B050"/>
      <name val="Verdana"/>
      <family val="2"/>
    </font>
    <font>
      <i/>
      <sz val="10"/>
      <name val="Verdana"/>
      <family val="2"/>
    </font>
    <font>
      <sz val="10"/>
      <color rgb="FFDF6613"/>
      <name val="Verdana"/>
      <family val="2"/>
    </font>
    <font>
      <sz val="10"/>
      <color rgb="FFFF0000"/>
      <name val="Verdana"/>
      <family val="2"/>
    </font>
    <font>
      <sz val="10"/>
      <color rgb="FFC00000"/>
      <name val="Verdana"/>
      <family val="2"/>
    </font>
    <font>
      <b/>
      <sz val="9"/>
      <color rgb="FFFF0000"/>
      <name val="Verdana"/>
      <family val="2"/>
    </font>
    <font>
      <sz val="5"/>
      <color rgb="FFF2F2F2"/>
      <name val="Verdana"/>
      <family val="2"/>
    </font>
    <font>
      <i/>
      <sz val="8"/>
      <name val="Verdana"/>
      <family val="2"/>
    </font>
    <font>
      <b/>
      <sz val="8"/>
      <color rgb="FFC00000"/>
      <name val="Verdana"/>
      <family val="2"/>
    </font>
    <font>
      <sz val="5"/>
      <color rgb="FFECECEC"/>
      <name val="Verdana"/>
      <family val="2"/>
    </font>
    <font>
      <b/>
      <sz val="11"/>
      <color theme="1"/>
      <name val="Calibri"/>
      <family val="2"/>
      <scheme val="minor"/>
    </font>
    <font>
      <sz val="11"/>
      <name val="Calibri"/>
      <family val="2"/>
      <scheme val="minor"/>
    </font>
    <font>
      <b/>
      <sz val="11"/>
      <name val="Calibri"/>
      <family val="2"/>
      <scheme val="minor"/>
    </font>
    <font>
      <sz val="11"/>
      <color rgb="FFCC00CC"/>
      <name val="Calibri"/>
      <family val="2"/>
      <scheme val="minor"/>
    </font>
    <font>
      <sz val="9"/>
      <color indexed="81"/>
      <name val="Tahoma"/>
      <family val="2"/>
    </font>
    <font>
      <b/>
      <sz val="11"/>
      <color rgb="FF0000FF"/>
      <name val="Calibri"/>
      <family val="2"/>
      <scheme val="minor"/>
    </font>
    <font>
      <sz val="8"/>
      <color indexed="81"/>
      <name val="Tahoma"/>
      <family val="2"/>
    </font>
    <font>
      <u/>
      <sz val="11"/>
      <color theme="10"/>
      <name val="Calibri"/>
      <family val="2"/>
      <scheme val="minor"/>
    </font>
    <font>
      <b/>
      <u/>
      <sz val="11"/>
      <name val="Calibri"/>
      <family val="2"/>
      <scheme val="minor"/>
    </font>
    <font>
      <sz val="11"/>
      <name val="Calibri"/>
      <family val="2"/>
    </font>
    <font>
      <b/>
      <sz val="11"/>
      <name val="Calibri"/>
      <family val="2"/>
    </font>
    <font>
      <u/>
      <sz val="10"/>
      <color theme="10"/>
      <name val="Calibri"/>
      <family val="2"/>
      <scheme val="minor"/>
    </font>
    <font>
      <b/>
      <sz val="11"/>
      <color rgb="FF7030A0"/>
      <name val="Calibri"/>
      <family val="2"/>
      <scheme val="minor"/>
    </font>
    <font>
      <b/>
      <u/>
      <sz val="11"/>
      <color theme="10"/>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ECECEC"/>
        <bgColor indexed="64"/>
      </patternFill>
    </fill>
    <fill>
      <patternFill patternType="solid">
        <fgColor rgb="FFF2F2F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gray125">
        <bgColor auto="1"/>
      </patternFill>
    </fill>
    <fill>
      <patternFill patternType="solid">
        <fgColor rgb="FFFFCC00"/>
        <bgColor indexed="64"/>
      </patternFill>
    </fill>
  </fills>
  <borders count="58">
    <border>
      <left/>
      <right/>
      <top/>
      <bottom/>
      <diagonal/>
    </border>
    <border>
      <left style="medium">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style="medium">
        <color auto="1"/>
      </left>
      <right/>
      <top style="medium">
        <color auto="1"/>
      </top>
      <bottom/>
      <diagonal/>
    </border>
    <border>
      <left style="medium">
        <color auto="1"/>
      </left>
      <right/>
      <top/>
      <bottom style="medium">
        <color auto="1"/>
      </bottom>
      <diagonal/>
    </border>
    <border>
      <left/>
      <right style="medium">
        <color auto="1"/>
      </right>
      <top style="medium">
        <color auto="1"/>
      </top>
      <bottom/>
      <diagonal/>
    </border>
    <border>
      <left/>
      <right style="medium">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top style="medium">
        <color auto="1"/>
      </top>
      <bottom/>
      <diagonal/>
    </border>
    <border>
      <left/>
      <right style="thin">
        <color auto="1"/>
      </right>
      <top style="medium">
        <color auto="1"/>
      </top>
      <bottom/>
      <diagonal/>
    </border>
    <border>
      <left style="thin">
        <color auto="1"/>
      </left>
      <right/>
      <top/>
      <bottom/>
      <diagonal/>
    </border>
    <border>
      <left/>
      <right style="thin">
        <color auto="1"/>
      </right>
      <top/>
      <bottom/>
      <diagonal/>
    </border>
    <border>
      <left style="thin">
        <color auto="1"/>
      </left>
      <right/>
      <top/>
      <bottom style="medium">
        <color auto="1"/>
      </bottom>
      <diagonal/>
    </border>
    <border>
      <left/>
      <right style="thin">
        <color auto="1"/>
      </right>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thin">
        <color auto="1"/>
      </left>
      <right style="thin">
        <color auto="1"/>
      </right>
      <top style="medium">
        <color indexed="64"/>
      </top>
      <bottom style="thin">
        <color auto="1"/>
      </bottom>
      <diagonal/>
    </border>
    <border>
      <left style="medium">
        <color indexed="64"/>
      </left>
      <right/>
      <top/>
      <bottom style="thin">
        <color auto="1"/>
      </bottom>
      <diagonal/>
    </border>
    <border>
      <left style="thin">
        <color auto="1"/>
      </left>
      <right/>
      <top style="medium">
        <color auto="1"/>
      </top>
      <bottom style="medium">
        <color indexed="64"/>
      </bottom>
      <diagonal/>
    </border>
    <border>
      <left style="thin">
        <color auto="1"/>
      </left>
      <right style="thin">
        <color auto="1"/>
      </right>
      <top style="thin">
        <color auto="1"/>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auto="1"/>
      </left>
      <right style="thin">
        <color auto="1"/>
      </right>
      <top style="medium">
        <color auto="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bottom style="medium">
        <color auto="1"/>
      </bottom>
      <diagonal/>
    </border>
    <border>
      <left style="thin">
        <color auto="1"/>
      </left>
      <right/>
      <top/>
      <bottom style="thin">
        <color auto="1"/>
      </bottom>
      <diagonal/>
    </border>
    <border>
      <left/>
      <right/>
      <top style="medium">
        <color auto="1"/>
      </top>
      <bottom/>
      <diagonal/>
    </border>
    <border>
      <left style="thin">
        <color indexed="64"/>
      </left>
      <right style="thin">
        <color indexed="64"/>
      </right>
      <top/>
      <bottom style="thin">
        <color indexed="64"/>
      </bottom>
      <diagonal/>
    </border>
    <border>
      <left/>
      <right style="thin">
        <color auto="1"/>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bottom style="thin">
        <color indexed="64"/>
      </bottom>
      <diagonal/>
    </border>
  </borders>
  <cellStyleXfs count="2">
    <xf numFmtId="0" fontId="0" fillId="0" borderId="0"/>
    <xf numFmtId="0" fontId="56" fillId="0" borderId="0" applyNumberFormat="0" applyFill="0" applyBorder="0" applyAlignment="0" applyProtection="0"/>
  </cellStyleXfs>
  <cellXfs count="349">
    <xf numFmtId="0" fontId="0" fillId="0" borderId="0" xfId="0"/>
    <xf numFmtId="0" fontId="1" fillId="0" borderId="0" xfId="0" applyFont="1" applyAlignment="1">
      <alignment vertical="center"/>
    </xf>
    <xf numFmtId="0" fontId="2" fillId="0" borderId="0" xfId="0" applyFont="1" applyAlignment="1">
      <alignment vertical="center"/>
    </xf>
    <xf numFmtId="0" fontId="2" fillId="0" borderId="0" xfId="0" applyFont="1" applyAlignment="1">
      <alignment horizontal="center" vertical="center"/>
    </xf>
    <xf numFmtId="0" fontId="5" fillId="0" borderId="0" xfId="0" applyFont="1" applyFill="1" applyAlignment="1"/>
    <xf numFmtId="0" fontId="3" fillId="0" borderId="0" xfId="0" applyFont="1" applyAlignment="1">
      <alignment horizontal="center" vertical="center"/>
    </xf>
    <xf numFmtId="0" fontId="6" fillId="0" borderId="0" xfId="0" applyFont="1" applyAlignment="1">
      <alignment horizontal="center" vertical="center"/>
    </xf>
    <xf numFmtId="0" fontId="4" fillId="0" borderId="0" xfId="0" applyFont="1" applyFill="1" applyAlignment="1" applyProtection="1">
      <alignment horizontal="center" vertical="center"/>
      <protection hidden="1"/>
    </xf>
    <xf numFmtId="0" fontId="1" fillId="0" borderId="0" xfId="0" applyFont="1" applyAlignment="1" applyProtection="1">
      <alignment horizontal="center" vertical="center"/>
      <protection hidden="1"/>
    </xf>
    <xf numFmtId="0" fontId="2" fillId="0" borderId="0" xfId="0" applyFont="1" applyAlignment="1" applyProtection="1">
      <alignment vertical="center"/>
      <protection hidden="1"/>
    </xf>
    <xf numFmtId="0" fontId="6" fillId="0" borderId="0" xfId="0" applyFont="1" applyAlignment="1" applyProtection="1">
      <alignment horizontal="left" vertical="center"/>
      <protection hidden="1"/>
    </xf>
    <xf numFmtId="0" fontId="7" fillId="0" borderId="0" xfId="0" applyFont="1" applyAlignment="1" applyProtection="1">
      <alignment vertical="center" wrapText="1"/>
      <protection hidden="1"/>
    </xf>
    <xf numFmtId="0" fontId="5" fillId="0" borderId="0" xfId="0" applyFont="1" applyFill="1" applyAlignment="1" applyProtection="1">
      <protection hidden="1"/>
    </xf>
    <xf numFmtId="0" fontId="1" fillId="0" borderId="0" xfId="0" applyFont="1" applyAlignment="1" applyProtection="1">
      <alignment vertical="center"/>
      <protection hidden="1"/>
    </xf>
    <xf numFmtId="0" fontId="7" fillId="0" borderId="0" xfId="0" applyFont="1" applyAlignment="1" applyProtection="1">
      <alignment vertical="center"/>
      <protection hidden="1"/>
    </xf>
    <xf numFmtId="0" fontId="6" fillId="0" borderId="0" xfId="0" applyFont="1" applyAlignment="1" applyProtection="1">
      <alignment horizontal="left" vertical="center" wrapText="1"/>
      <protection hidden="1"/>
    </xf>
    <xf numFmtId="0" fontId="2" fillId="0" borderId="0" xfId="0" applyFont="1" applyAlignment="1">
      <alignment horizontal="center"/>
    </xf>
    <xf numFmtId="0" fontId="3" fillId="0" borderId="0" xfId="0" applyFont="1" applyAlignment="1">
      <alignment vertical="center"/>
    </xf>
    <xf numFmtId="0" fontId="17" fillId="0" borderId="0" xfId="0" applyFont="1" applyAlignment="1">
      <alignment horizontal="center"/>
    </xf>
    <xf numFmtId="0" fontId="17" fillId="0" borderId="0" xfId="0" applyFont="1" applyAlignment="1" applyProtection="1">
      <alignment horizontal="center"/>
    </xf>
    <xf numFmtId="0" fontId="2" fillId="0" borderId="0" xfId="0" applyFont="1" applyAlignment="1" applyProtection="1">
      <alignment horizontal="center" vertical="center"/>
    </xf>
    <xf numFmtId="0" fontId="3" fillId="0" borderId="0" xfId="0" applyFont="1" applyAlignment="1" applyProtection="1">
      <alignment horizontal="center" vertical="center"/>
    </xf>
    <xf numFmtId="0" fontId="2" fillId="0" borderId="0" xfId="0" applyFont="1" applyAlignment="1" applyProtection="1">
      <alignment vertical="center"/>
    </xf>
    <xf numFmtId="0" fontId="6" fillId="0" borderId="0" xfId="0" applyFont="1" applyAlignment="1" applyProtection="1">
      <alignment horizontal="left" vertical="center"/>
    </xf>
    <xf numFmtId="0" fontId="7" fillId="0" borderId="0" xfId="0" applyFont="1" applyAlignment="1" applyProtection="1">
      <alignment vertical="center"/>
    </xf>
    <xf numFmtId="0" fontId="6" fillId="0" borderId="0" xfId="0" applyFont="1" applyAlignment="1" applyProtection="1">
      <alignment horizontal="center" vertical="center"/>
    </xf>
    <xf numFmtId="0" fontId="19" fillId="0" borderId="0" xfId="0" applyFont="1" applyAlignment="1" applyProtection="1">
      <alignment horizontal="center" vertical="center"/>
    </xf>
    <xf numFmtId="0" fontId="19" fillId="0" borderId="0" xfId="0" applyFont="1" applyAlignment="1">
      <alignment horizontal="center" vertical="center"/>
    </xf>
    <xf numFmtId="0" fontId="5" fillId="0" borderId="0" xfId="0" applyFont="1" applyFill="1" applyAlignment="1" applyProtection="1"/>
    <xf numFmtId="0" fontId="18" fillId="0" borderId="0" xfId="0" applyFont="1" applyAlignment="1" applyProtection="1">
      <alignment vertical="center"/>
    </xf>
    <xf numFmtId="0" fontId="2" fillId="0" borderId="0" xfId="0" applyFont="1" applyAlignment="1" applyProtection="1">
      <alignment horizontal="center"/>
    </xf>
    <xf numFmtId="0" fontId="20" fillId="0" borderId="2" xfId="0" applyFont="1" applyBorder="1" applyAlignment="1" applyProtection="1">
      <alignment horizontal="center" vertical="center" wrapText="1"/>
    </xf>
    <xf numFmtId="0" fontId="2" fillId="0" borderId="0" xfId="0" applyFont="1" applyBorder="1" applyAlignment="1">
      <alignment vertical="center"/>
    </xf>
    <xf numFmtId="0" fontId="8" fillId="0" borderId="37" xfId="0" applyFont="1" applyBorder="1" applyAlignment="1">
      <alignment horizontal="center" vertical="center" wrapText="1"/>
    </xf>
    <xf numFmtId="0" fontId="8" fillId="0" borderId="37" xfId="0" applyFont="1" applyBorder="1" applyAlignment="1">
      <alignment horizontal="center" vertical="center"/>
    </xf>
    <xf numFmtId="0" fontId="6" fillId="0" borderId="38" xfId="0" applyFont="1" applyBorder="1" applyAlignment="1">
      <alignment horizontal="center" vertical="center" textRotation="90"/>
    </xf>
    <xf numFmtId="0" fontId="8" fillId="0" borderId="39" xfId="0" applyFont="1" applyBorder="1" applyAlignment="1">
      <alignment horizontal="center" vertical="center" wrapText="1"/>
    </xf>
    <xf numFmtId="0" fontId="8" fillId="0" borderId="33" xfId="0" applyFont="1" applyBorder="1" applyAlignment="1">
      <alignment horizontal="center" vertical="center" wrapText="1"/>
    </xf>
    <xf numFmtId="0" fontId="8" fillId="0" borderId="36" xfId="0" applyFont="1" applyBorder="1" applyAlignment="1">
      <alignment horizontal="center" vertical="center" wrapText="1"/>
    </xf>
    <xf numFmtId="0" fontId="8" fillId="0" borderId="33" xfId="0" applyFont="1" applyBorder="1" applyAlignment="1">
      <alignment horizontal="center" vertical="center"/>
    </xf>
    <xf numFmtId="0" fontId="8" fillId="0" borderId="36" xfId="0" applyFont="1" applyBorder="1" applyAlignment="1">
      <alignment horizontal="center" vertical="center"/>
    </xf>
    <xf numFmtId="0" fontId="6" fillId="0" borderId="38" xfId="0" applyFont="1" applyBorder="1" applyAlignment="1">
      <alignment horizontal="center" vertical="center" textRotation="90" wrapText="1"/>
    </xf>
    <xf numFmtId="0" fontId="8" fillId="0" borderId="39" xfId="0" applyFont="1" applyBorder="1" applyAlignment="1">
      <alignment horizontal="center" vertical="center"/>
    </xf>
    <xf numFmtId="0" fontId="9" fillId="0" borderId="44" xfId="0" applyFont="1" applyBorder="1" applyAlignment="1" applyProtection="1">
      <alignment horizontal="center" vertical="center"/>
    </xf>
    <xf numFmtId="0" fontId="11" fillId="0" borderId="45" xfId="0" applyFont="1" applyBorder="1" applyAlignment="1">
      <alignment horizontal="center" vertical="center"/>
    </xf>
    <xf numFmtId="0" fontId="1" fillId="0" borderId="0" xfId="0" applyFont="1" applyAlignment="1" applyProtection="1">
      <alignment horizontal="center" vertical="center"/>
    </xf>
    <xf numFmtId="0" fontId="1" fillId="0" borderId="0" xfId="0" applyFont="1" applyAlignment="1" applyProtection="1">
      <alignment vertical="center"/>
    </xf>
    <xf numFmtId="0" fontId="2" fillId="0" borderId="0" xfId="0" applyFont="1" applyFill="1" applyAlignment="1" applyProtection="1">
      <alignment horizontal="center" vertical="center"/>
    </xf>
    <xf numFmtId="0" fontId="2" fillId="0" borderId="0" xfId="0" applyFont="1" applyFill="1" applyAlignment="1" applyProtection="1">
      <alignment vertical="center"/>
    </xf>
    <xf numFmtId="0" fontId="8" fillId="0" borderId="0" xfId="0" applyFont="1" applyAlignment="1" applyProtection="1">
      <alignment horizontal="left" vertical="center"/>
      <protection hidden="1"/>
    </xf>
    <xf numFmtId="0" fontId="6" fillId="0" borderId="0" xfId="0" applyFont="1"/>
    <xf numFmtId="0" fontId="6" fillId="0" borderId="0" xfId="0" applyFont="1" applyAlignment="1">
      <alignment vertical="center"/>
    </xf>
    <xf numFmtId="0" fontId="1" fillId="0" borderId="0" xfId="0" applyFont="1" applyAlignment="1" applyProtection="1">
      <alignment horizontal="center" vertical="center"/>
      <protection hidden="1"/>
    </xf>
    <xf numFmtId="0" fontId="1" fillId="0" borderId="0" xfId="0" applyFont="1" applyAlignment="1">
      <alignment horizontal="center" vertical="center"/>
    </xf>
    <xf numFmtId="0" fontId="10" fillId="0" borderId="0" xfId="0" applyFont="1" applyBorder="1" applyAlignment="1">
      <alignment vertical="center"/>
    </xf>
    <xf numFmtId="0" fontId="3" fillId="2" borderId="0" xfId="0" applyFont="1" applyFill="1" applyAlignment="1">
      <alignment horizontal="center" vertical="center"/>
    </xf>
    <xf numFmtId="0" fontId="19" fillId="2" borderId="0" xfId="0" applyFont="1" applyFill="1" applyAlignment="1">
      <alignment horizontal="center" vertical="center"/>
    </xf>
    <xf numFmtId="0" fontId="17" fillId="2" borderId="0" xfId="0" applyFont="1" applyFill="1" applyAlignment="1">
      <alignment horizontal="center"/>
    </xf>
    <xf numFmtId="0" fontId="3" fillId="2" borderId="0" xfId="0" applyFont="1" applyFill="1" applyBorder="1" applyAlignment="1" applyProtection="1">
      <alignment horizontal="right" vertical="center" wrapText="1"/>
    </xf>
    <xf numFmtId="0" fontId="6" fillId="2" borderId="0" xfId="0" applyFont="1" applyFill="1" applyBorder="1" applyAlignment="1" applyProtection="1">
      <alignment vertical="center"/>
    </xf>
    <xf numFmtId="0" fontId="3" fillId="2" borderId="0" xfId="0" applyFont="1" applyFill="1" applyBorder="1" applyAlignment="1" applyProtection="1">
      <alignment horizontal="right" vertical="center"/>
    </xf>
    <xf numFmtId="0" fontId="3" fillId="2" borderId="0" xfId="0" applyFont="1" applyFill="1" applyAlignment="1" applyProtection="1">
      <alignment horizontal="center" vertical="center"/>
    </xf>
    <xf numFmtId="0" fontId="19" fillId="2" borderId="0" xfId="0" applyFont="1" applyFill="1" applyAlignment="1" applyProtection="1">
      <alignment horizontal="center" vertical="center"/>
    </xf>
    <xf numFmtId="0" fontId="17" fillId="2" borderId="0" xfId="0" applyFont="1" applyFill="1" applyAlignment="1" applyProtection="1">
      <alignment horizontal="center"/>
    </xf>
    <xf numFmtId="0" fontId="2" fillId="2" borderId="0" xfId="0" applyFont="1" applyFill="1" applyBorder="1" applyAlignment="1" applyProtection="1">
      <alignment vertical="center"/>
    </xf>
    <xf numFmtId="0" fontId="8" fillId="2" borderId="0" xfId="0" applyFont="1" applyFill="1" applyBorder="1" applyAlignment="1" applyProtection="1">
      <alignment horizontal="right" vertical="center" wrapText="1"/>
    </xf>
    <xf numFmtId="0" fontId="1" fillId="2" borderId="0" xfId="0" applyFont="1" applyFill="1" applyBorder="1" applyAlignment="1" applyProtection="1">
      <alignment vertical="center"/>
    </xf>
    <xf numFmtId="0" fontId="2" fillId="2" borderId="0" xfId="0" applyFont="1" applyFill="1" applyBorder="1" applyAlignment="1">
      <alignment vertical="center"/>
    </xf>
    <xf numFmtId="0" fontId="17" fillId="2" borderId="0" xfId="0" applyFont="1" applyFill="1" applyBorder="1" applyAlignment="1" applyProtection="1">
      <alignment horizontal="center"/>
    </xf>
    <xf numFmtId="0" fontId="1" fillId="2" borderId="0" xfId="0" applyFont="1" applyFill="1" applyBorder="1" applyAlignment="1" applyProtection="1">
      <alignment horizontal="center" vertical="center"/>
    </xf>
    <xf numFmtId="0" fontId="2" fillId="2" borderId="0" xfId="0" applyFont="1" applyFill="1" applyAlignment="1" applyProtection="1">
      <alignment vertical="center"/>
      <protection hidden="1"/>
    </xf>
    <xf numFmtId="0" fontId="6" fillId="2" borderId="0" xfId="0" applyFont="1" applyFill="1" applyAlignment="1" applyProtection="1">
      <alignment horizontal="center" vertical="center"/>
      <protection hidden="1"/>
    </xf>
    <xf numFmtId="0" fontId="5" fillId="2" borderId="0" xfId="0" applyFont="1" applyFill="1" applyAlignment="1" applyProtection="1">
      <protection hidden="1"/>
    </xf>
    <xf numFmtId="0" fontId="18" fillId="2" borderId="49" xfId="0" applyFont="1" applyFill="1" applyBorder="1" applyAlignment="1" applyProtection="1">
      <alignment vertical="center"/>
      <protection locked="0"/>
    </xf>
    <xf numFmtId="0" fontId="3" fillId="2" borderId="0" xfId="0" applyFont="1" applyFill="1" applyBorder="1" applyAlignment="1" applyProtection="1">
      <alignment horizontal="right" vertical="center"/>
      <protection hidden="1"/>
    </xf>
    <xf numFmtId="0" fontId="3" fillId="2" borderId="0" xfId="0" applyFont="1" applyFill="1" applyBorder="1" applyAlignment="1" applyProtection="1">
      <alignment vertical="center"/>
      <protection hidden="1"/>
    </xf>
    <xf numFmtId="0" fontId="18" fillId="2" borderId="49" xfId="0" applyFont="1" applyFill="1" applyBorder="1" applyAlignment="1" applyProtection="1">
      <alignment vertical="center"/>
      <protection hidden="1"/>
    </xf>
    <xf numFmtId="0" fontId="1" fillId="2" borderId="0" xfId="0" applyFont="1" applyFill="1" applyAlignment="1" applyProtection="1">
      <alignment vertical="center"/>
      <protection hidden="1"/>
    </xf>
    <xf numFmtId="0" fontId="12" fillId="2" borderId="0" xfId="0" applyFont="1" applyFill="1" applyAlignment="1" applyProtection="1">
      <alignment horizontal="left" vertical="center"/>
      <protection hidden="1"/>
    </xf>
    <xf numFmtId="0" fontId="6" fillId="2" borderId="0" xfId="0" applyFont="1" applyFill="1"/>
    <xf numFmtId="0" fontId="6" fillId="2" borderId="1" xfId="0" applyFont="1" applyFill="1" applyBorder="1" applyAlignment="1">
      <alignment vertical="center"/>
    </xf>
    <xf numFmtId="0" fontId="21" fillId="2" borderId="0" xfId="0" applyFont="1" applyFill="1" applyBorder="1" applyAlignment="1">
      <alignment vertical="center"/>
    </xf>
    <xf numFmtId="0" fontId="6" fillId="2" borderId="5" xfId="0" applyFont="1" applyFill="1" applyBorder="1" applyAlignment="1">
      <alignment vertical="center"/>
    </xf>
    <xf numFmtId="0" fontId="6" fillId="2" borderId="0" xfId="0" applyFont="1" applyFill="1" applyBorder="1" applyAlignment="1">
      <alignment vertical="center"/>
    </xf>
    <xf numFmtId="0" fontId="6" fillId="2" borderId="7" xfId="0" applyFont="1" applyFill="1" applyBorder="1" applyAlignment="1">
      <alignment vertical="center"/>
    </xf>
    <xf numFmtId="0" fontId="6" fillId="2" borderId="49" xfId="0" applyFont="1" applyFill="1" applyBorder="1" applyAlignment="1">
      <alignment vertical="center"/>
    </xf>
    <xf numFmtId="0" fontId="6" fillId="2" borderId="9" xfId="0" applyFont="1" applyFill="1" applyBorder="1" applyAlignment="1">
      <alignment vertical="center"/>
    </xf>
    <xf numFmtId="0" fontId="6" fillId="2" borderId="0" xfId="0" applyFont="1" applyFill="1" applyAlignment="1">
      <alignment vertical="center"/>
    </xf>
    <xf numFmtId="0" fontId="35" fillId="4" borderId="34" xfId="0" applyFont="1" applyFill="1" applyBorder="1" applyAlignment="1" applyProtection="1">
      <alignment horizontal="left" vertical="center" wrapText="1"/>
    </xf>
    <xf numFmtId="0" fontId="37" fillId="4" borderId="24" xfId="0" applyFont="1" applyFill="1" applyBorder="1" applyAlignment="1" applyProtection="1">
      <alignment horizontal="left" vertical="center"/>
    </xf>
    <xf numFmtId="0" fontId="39" fillId="4" borderId="6" xfId="0" applyFont="1" applyFill="1" applyBorder="1" applyAlignment="1" applyProtection="1">
      <alignment horizontal="left" vertical="center" wrapText="1"/>
      <protection locked="0"/>
    </xf>
    <xf numFmtId="0" fontId="41" fillId="4" borderId="24" xfId="0" applyFont="1" applyFill="1" applyBorder="1" applyAlignment="1" applyProtection="1">
      <alignment horizontal="left" vertical="center" wrapText="1"/>
    </xf>
    <xf numFmtId="0" fontId="24" fillId="4" borderId="24" xfId="0" applyFont="1" applyFill="1" applyBorder="1" applyAlignment="1" applyProtection="1">
      <alignment horizontal="left" vertical="center"/>
    </xf>
    <xf numFmtId="0" fontId="35" fillId="4" borderId="16" xfId="0" applyFont="1" applyFill="1" applyBorder="1" applyAlignment="1" applyProtection="1">
      <alignment horizontal="left" vertical="center" wrapText="1"/>
    </xf>
    <xf numFmtId="0" fontId="37" fillId="4" borderId="1" xfId="0" applyFont="1" applyFill="1" applyBorder="1" applyAlignment="1" applyProtection="1">
      <alignment horizontal="left" vertical="center"/>
    </xf>
    <xf numFmtId="0" fontId="35" fillId="4" borderId="18" xfId="0" applyFont="1" applyFill="1" applyBorder="1" applyAlignment="1" applyProtection="1">
      <alignment horizontal="left" vertical="center" wrapText="1"/>
    </xf>
    <xf numFmtId="0" fontId="37" fillId="4" borderId="26" xfId="0" applyFont="1" applyFill="1" applyBorder="1" applyAlignment="1" applyProtection="1">
      <alignment horizontal="left" vertical="center"/>
    </xf>
    <xf numFmtId="0" fontId="37" fillId="4" borderId="7" xfId="0" applyFont="1" applyFill="1" applyBorder="1" applyAlignment="1" applyProtection="1">
      <alignment horizontal="left" vertical="center"/>
    </xf>
    <xf numFmtId="0" fontId="41" fillId="4" borderId="26" xfId="0" applyFont="1" applyFill="1" applyBorder="1" applyAlignment="1" applyProtection="1">
      <alignment horizontal="left" vertical="center" wrapText="1"/>
    </xf>
    <xf numFmtId="0" fontId="42" fillId="4" borderId="26" xfId="0" applyFont="1" applyFill="1" applyBorder="1" applyAlignment="1" applyProtection="1">
      <alignment horizontal="left" vertical="center" wrapText="1"/>
    </xf>
    <xf numFmtId="0" fontId="24" fillId="4" borderId="26" xfId="0" applyFont="1" applyFill="1" applyBorder="1" applyAlignment="1" applyProtection="1">
      <alignment horizontal="left" vertical="center"/>
    </xf>
    <xf numFmtId="0" fontId="35" fillId="4" borderId="6" xfId="0" applyFont="1" applyFill="1" applyBorder="1" applyAlignment="1" applyProtection="1">
      <alignment horizontal="left" vertical="center"/>
    </xf>
    <xf numFmtId="0" fontId="38" fillId="4" borderId="28" xfId="0" applyFont="1" applyFill="1" applyBorder="1" applyAlignment="1" applyProtection="1">
      <alignment horizontal="left" vertical="center" wrapText="1"/>
    </xf>
    <xf numFmtId="0" fontId="35" fillId="4" borderId="1" xfId="0" applyFont="1" applyFill="1" applyBorder="1" applyAlignment="1" applyProtection="1">
      <alignment horizontal="left" vertical="center"/>
    </xf>
    <xf numFmtId="0" fontId="38" fillId="4" borderId="29" xfId="0" applyFont="1" applyFill="1" applyBorder="1" applyAlignment="1" applyProtection="1">
      <alignment horizontal="left" vertical="center" wrapText="1"/>
    </xf>
    <xf numFmtId="0" fontId="24" fillId="4" borderId="24" xfId="0" applyFont="1" applyFill="1" applyBorder="1" applyAlignment="1" applyProtection="1">
      <alignment horizontal="left" vertical="center" wrapText="1"/>
    </xf>
    <xf numFmtId="0" fontId="37" fillId="4" borderId="1" xfId="0" applyFont="1" applyFill="1" applyBorder="1" applyAlignment="1" applyProtection="1">
      <alignment horizontal="left" vertical="center" wrapText="1"/>
    </xf>
    <xf numFmtId="0" fontId="35" fillId="4" borderId="7" xfId="0" applyFont="1" applyFill="1" applyBorder="1" applyAlignment="1" applyProtection="1">
      <alignment horizontal="left" vertical="center"/>
    </xf>
    <xf numFmtId="0" fontId="38" fillId="4" borderId="20" xfId="0" applyFont="1" applyFill="1" applyBorder="1" applyAlignment="1" applyProtection="1">
      <alignment horizontal="left" vertical="center" wrapText="1"/>
    </xf>
    <xf numFmtId="0" fontId="37" fillId="4" borderId="7" xfId="0" applyFont="1" applyFill="1" applyBorder="1" applyAlignment="1" applyProtection="1">
      <alignment horizontal="left" vertical="center" wrapText="1"/>
    </xf>
    <xf numFmtId="0" fontId="41" fillId="4" borderId="29" xfId="0" applyFont="1" applyFill="1" applyBorder="1" applyAlignment="1">
      <alignment horizontal="left" vertical="center" wrapText="1"/>
    </xf>
    <xf numFmtId="0" fontId="24" fillId="4" borderId="26" xfId="0" applyFont="1" applyFill="1" applyBorder="1" applyAlignment="1" applyProtection="1">
      <alignment horizontal="left" vertical="center" wrapText="1"/>
    </xf>
    <xf numFmtId="0" fontId="35" fillId="4" borderId="6" xfId="0" applyFont="1" applyFill="1" applyBorder="1" applyAlignment="1" applyProtection="1">
      <alignment horizontal="left" vertical="center" wrapText="1"/>
    </xf>
    <xf numFmtId="0" fontId="38" fillId="4" borderId="22" xfId="0" applyFont="1" applyFill="1" applyBorder="1" applyAlignment="1" applyProtection="1">
      <alignment horizontal="left" vertical="center"/>
    </xf>
    <xf numFmtId="0" fontId="37" fillId="4" borderId="6" xfId="0" applyFont="1" applyFill="1" applyBorder="1" applyAlignment="1" applyProtection="1">
      <alignment horizontal="left" vertical="center" wrapText="1"/>
    </xf>
    <xf numFmtId="0" fontId="41" fillId="4" borderId="22" xfId="0" applyFont="1" applyFill="1" applyBorder="1" applyAlignment="1" applyProtection="1">
      <alignment horizontal="left" vertical="center" wrapText="1"/>
    </xf>
    <xf numFmtId="0" fontId="42" fillId="4" borderId="22" xfId="0" applyFont="1" applyFill="1" applyBorder="1" applyAlignment="1" applyProtection="1">
      <alignment horizontal="left" vertical="center" wrapText="1"/>
    </xf>
    <xf numFmtId="0" fontId="24" fillId="4" borderId="22" xfId="0" applyFont="1" applyFill="1" applyBorder="1" applyAlignment="1" applyProtection="1">
      <alignment horizontal="left" vertical="center"/>
    </xf>
    <xf numFmtId="0" fontId="36" fillId="4" borderId="6" xfId="0" applyFont="1" applyFill="1" applyBorder="1" applyAlignment="1" applyProtection="1">
      <alignment horizontal="left" vertical="center"/>
    </xf>
    <xf numFmtId="0" fontId="36" fillId="4" borderId="22" xfId="0" applyFont="1" applyFill="1" applyBorder="1" applyAlignment="1" applyProtection="1">
      <alignment horizontal="left" vertical="center"/>
    </xf>
    <xf numFmtId="0" fontId="42" fillId="4" borderId="22" xfId="0" applyFont="1" applyFill="1" applyBorder="1" applyAlignment="1" applyProtection="1">
      <alignment horizontal="left" vertical="center"/>
    </xf>
    <xf numFmtId="0" fontId="42" fillId="4" borderId="26" xfId="0" applyFont="1" applyFill="1" applyBorder="1" applyAlignment="1" applyProtection="1">
      <alignment horizontal="left" vertical="center"/>
    </xf>
    <xf numFmtId="0" fontId="38" fillId="4" borderId="22" xfId="0" applyFont="1" applyFill="1" applyBorder="1" applyAlignment="1" applyProtection="1">
      <alignment horizontal="left" vertical="center" wrapText="1"/>
    </xf>
    <xf numFmtId="0" fontId="41" fillId="4" borderId="22" xfId="0" applyFont="1" applyFill="1" applyBorder="1" applyAlignment="1" applyProtection="1">
      <alignment horizontal="left" vertical="center"/>
    </xf>
    <xf numFmtId="0" fontId="35" fillId="4" borderId="2" xfId="0" applyFont="1" applyFill="1" applyBorder="1" applyAlignment="1" applyProtection="1">
      <alignment horizontal="left" vertical="center"/>
    </xf>
    <xf numFmtId="0" fontId="38" fillId="4" borderId="35" xfId="0" applyFont="1" applyFill="1" applyBorder="1" applyAlignment="1" applyProtection="1">
      <alignment horizontal="left" vertical="center" wrapText="1"/>
    </xf>
    <xf numFmtId="0" fontId="37" fillId="4" borderId="2" xfId="0" applyFont="1" applyFill="1" applyBorder="1" applyAlignment="1" applyProtection="1">
      <alignment horizontal="left" vertical="center" wrapText="1"/>
    </xf>
    <xf numFmtId="0" fontId="41" fillId="4" borderId="35" xfId="0" applyFont="1" applyFill="1" applyBorder="1" applyAlignment="1" applyProtection="1">
      <alignment horizontal="left" vertical="center"/>
    </xf>
    <xf numFmtId="0" fontId="42" fillId="4" borderId="35" xfId="0" applyFont="1" applyFill="1" applyBorder="1" applyAlignment="1" applyProtection="1">
      <alignment horizontal="left" vertical="center"/>
    </xf>
    <xf numFmtId="0" fontId="24" fillId="4" borderId="35" xfId="0" applyFont="1" applyFill="1" applyBorder="1" applyAlignment="1" applyProtection="1">
      <alignment horizontal="left" vertical="center"/>
    </xf>
    <xf numFmtId="0" fontId="45" fillId="4" borderId="32" xfId="0" applyFont="1" applyFill="1" applyBorder="1" applyAlignment="1" applyProtection="1">
      <alignment horizontal="left" wrapText="1"/>
      <protection locked="0" hidden="1"/>
    </xf>
    <xf numFmtId="0" fontId="45" fillId="4" borderId="30" xfId="0" applyFont="1" applyFill="1" applyBorder="1" applyAlignment="1" applyProtection="1">
      <alignment horizontal="left" wrapText="1"/>
      <protection locked="0" hidden="1"/>
    </xf>
    <xf numFmtId="0" fontId="45" fillId="4" borderId="21" xfId="0" applyFont="1" applyFill="1" applyBorder="1" applyAlignment="1" applyProtection="1">
      <alignment horizontal="left" wrapText="1"/>
      <protection locked="0" hidden="1"/>
    </xf>
    <xf numFmtId="0" fontId="45" fillId="4" borderId="23" xfId="0" applyFont="1" applyFill="1" applyBorder="1" applyAlignment="1" applyProtection="1">
      <alignment horizontal="left"/>
      <protection hidden="1"/>
    </xf>
    <xf numFmtId="0" fontId="45" fillId="4" borderId="25" xfId="0" applyFont="1" applyFill="1" applyBorder="1" applyAlignment="1" applyProtection="1">
      <alignment horizontal="left"/>
      <protection hidden="1"/>
    </xf>
    <xf numFmtId="0" fontId="45" fillId="4" borderId="27" xfId="0" applyFont="1" applyFill="1" applyBorder="1" applyAlignment="1" applyProtection="1">
      <alignment horizontal="left"/>
      <protection hidden="1"/>
    </xf>
    <xf numFmtId="0" fontId="45" fillId="4" borderId="23" xfId="0" applyFont="1" applyFill="1" applyBorder="1" applyAlignment="1" applyProtection="1">
      <alignment horizontal="left" wrapText="1"/>
      <protection locked="0" hidden="1"/>
    </xf>
    <xf numFmtId="0" fontId="45" fillId="4" borderId="23" xfId="0" applyFont="1" applyFill="1" applyBorder="1" applyAlignment="1" applyProtection="1">
      <alignment horizontal="left" wrapText="1"/>
      <protection hidden="1"/>
    </xf>
    <xf numFmtId="0" fontId="45" fillId="4" borderId="31" xfId="0" applyFont="1" applyFill="1" applyBorder="1" applyAlignment="1" applyProtection="1">
      <alignment horizontal="left"/>
      <protection hidden="1"/>
    </xf>
    <xf numFmtId="0" fontId="45" fillId="4" borderId="5" xfId="0" applyFont="1" applyFill="1" applyBorder="1" applyAlignment="1" applyProtection="1">
      <alignment horizontal="left"/>
      <protection hidden="1"/>
    </xf>
    <xf numFmtId="0" fontId="45" fillId="4" borderId="9" xfId="0" applyFont="1" applyFill="1" applyBorder="1" applyAlignment="1" applyProtection="1">
      <alignment horizontal="left"/>
      <protection hidden="1"/>
    </xf>
    <xf numFmtId="0" fontId="45" fillId="4" borderId="15" xfId="0" applyFont="1" applyFill="1" applyBorder="1" applyAlignment="1" applyProtection="1">
      <alignment horizontal="left" wrapText="1"/>
      <protection locked="0" hidden="1"/>
    </xf>
    <xf numFmtId="0" fontId="45" fillId="4" borderId="17" xfId="0" applyFont="1" applyFill="1" applyBorder="1" applyAlignment="1" applyProtection="1">
      <alignment horizontal="left" wrapText="1"/>
      <protection locked="0" hidden="1"/>
    </xf>
    <xf numFmtId="0" fontId="45" fillId="4" borderId="19" xfId="0" applyFont="1" applyFill="1" applyBorder="1" applyAlignment="1" applyProtection="1">
      <alignment horizontal="left" wrapText="1"/>
      <protection locked="0" hidden="1"/>
    </xf>
    <xf numFmtId="0" fontId="45" fillId="4" borderId="8" xfId="0" applyFont="1" applyFill="1" applyBorder="1" applyAlignment="1" applyProtection="1">
      <alignment horizontal="left"/>
      <protection hidden="1"/>
    </xf>
    <xf numFmtId="0" fontId="45" fillId="4" borderId="8" xfId="0" applyFont="1" applyFill="1" applyBorder="1" applyAlignment="1" applyProtection="1">
      <alignment horizontal="left" wrapText="1"/>
      <protection locked="0" hidden="1"/>
    </xf>
    <xf numFmtId="0" fontId="45" fillId="4" borderId="4" xfId="0" applyFont="1" applyFill="1" applyBorder="1" applyAlignment="1" applyProtection="1">
      <alignment horizontal="left" wrapText="1"/>
      <protection locked="0" hidden="1"/>
    </xf>
    <xf numFmtId="0" fontId="45" fillId="4" borderId="25" xfId="0" applyFont="1" applyFill="1" applyBorder="1" applyAlignment="1" applyProtection="1">
      <alignment horizontal="left"/>
      <protection locked="0" hidden="1"/>
    </xf>
    <xf numFmtId="0" fontId="45" fillId="4" borderId="25" xfId="0" applyFont="1" applyFill="1" applyBorder="1" applyAlignment="1" applyProtection="1">
      <alignment horizontal="left" wrapText="1"/>
      <protection hidden="1"/>
    </xf>
    <xf numFmtId="0" fontId="45" fillId="4" borderId="27" xfId="0" applyFont="1" applyFill="1" applyBorder="1" applyAlignment="1" applyProtection="1">
      <alignment horizontal="left" wrapText="1"/>
      <protection hidden="1"/>
    </xf>
    <xf numFmtId="0" fontId="45" fillId="4" borderId="23" xfId="0" applyFont="1" applyFill="1" applyBorder="1" applyAlignment="1" applyProtection="1">
      <alignment horizontal="left"/>
      <protection locked="0" hidden="1"/>
    </xf>
    <xf numFmtId="0" fontId="45" fillId="4" borderId="31" xfId="0" applyFont="1" applyFill="1" applyBorder="1" applyAlignment="1" applyProtection="1">
      <alignment horizontal="left" wrapText="1"/>
      <protection locked="0" hidden="1"/>
    </xf>
    <xf numFmtId="0" fontId="45" fillId="4" borderId="25" xfId="0" applyFont="1" applyFill="1" applyBorder="1" applyAlignment="1" applyProtection="1">
      <alignment horizontal="left" wrapText="1"/>
      <protection locked="0" hidden="1"/>
    </xf>
    <xf numFmtId="0" fontId="45" fillId="4" borderId="5" xfId="0" applyFont="1" applyFill="1" applyBorder="1" applyAlignment="1" applyProtection="1">
      <alignment horizontal="left" wrapText="1"/>
      <protection hidden="1"/>
    </xf>
    <xf numFmtId="0" fontId="45" fillId="4" borderId="9" xfId="0" applyFont="1" applyFill="1" applyBorder="1" applyAlignment="1" applyProtection="1">
      <alignment horizontal="left" wrapText="1"/>
      <protection hidden="1"/>
    </xf>
    <xf numFmtId="0" fontId="45" fillId="4" borderId="4" xfId="0" applyFont="1" applyFill="1" applyBorder="1" applyAlignment="1" applyProtection="1">
      <alignment horizontal="left"/>
      <protection hidden="1"/>
    </xf>
    <xf numFmtId="0" fontId="3" fillId="2" borderId="0" xfId="0" applyFont="1" applyFill="1" applyBorder="1" applyAlignment="1">
      <alignment horizontal="right" vertical="center"/>
    </xf>
    <xf numFmtId="0" fontId="48" fillId="3" borderId="40" xfId="0" applyFont="1" applyFill="1" applyBorder="1" applyAlignment="1" applyProtection="1">
      <protection locked="0" hidden="1"/>
    </xf>
    <xf numFmtId="0" fontId="48" fillId="3" borderId="11" xfId="0" applyFont="1" applyFill="1" applyBorder="1" applyAlignment="1" applyProtection="1">
      <protection locked="0" hidden="1"/>
    </xf>
    <xf numFmtId="0" fontId="48" fillId="3" borderId="42" xfId="0" applyFont="1" applyFill="1" applyBorder="1" applyAlignment="1" applyProtection="1">
      <protection locked="0" hidden="1"/>
    </xf>
    <xf numFmtId="0" fontId="48" fillId="3" borderId="13" xfId="0" applyFont="1" applyFill="1" applyBorder="1" applyAlignment="1" applyProtection="1">
      <protection locked="0" hidden="1"/>
    </xf>
    <xf numFmtId="0" fontId="3" fillId="2" borderId="0" xfId="0" applyFont="1" applyFill="1" applyBorder="1" applyAlignment="1" applyProtection="1">
      <alignment horizontal="center" vertical="center"/>
      <protection hidden="1"/>
    </xf>
    <xf numFmtId="0" fontId="2" fillId="2" borderId="49" xfId="0" applyFont="1" applyFill="1" applyBorder="1" applyAlignment="1" applyProtection="1">
      <alignment horizontal="center" vertical="center"/>
      <protection locked="0"/>
    </xf>
    <xf numFmtId="0" fontId="2" fillId="2" borderId="49" xfId="0" applyFont="1" applyFill="1" applyBorder="1" applyAlignment="1" applyProtection="1">
      <alignment vertical="center"/>
      <protection locked="0"/>
    </xf>
    <xf numFmtId="0" fontId="2" fillId="2" borderId="0" xfId="0" applyFont="1" applyFill="1" applyBorder="1" applyAlignment="1" applyProtection="1">
      <alignment vertical="center"/>
      <protection hidden="1"/>
    </xf>
    <xf numFmtId="0" fontId="50" fillId="0" borderId="0" xfId="0" applyFont="1"/>
    <xf numFmtId="0" fontId="50" fillId="0" borderId="37" xfId="0" applyFont="1" applyBorder="1" applyAlignment="1">
      <alignment horizontal="center" vertical="center" wrapText="1"/>
    </xf>
    <xf numFmtId="0" fontId="50" fillId="0" borderId="37" xfId="0" applyFont="1" applyBorder="1" applyAlignment="1">
      <alignment vertical="center" wrapText="1"/>
    </xf>
    <xf numFmtId="0" fontId="51" fillId="5" borderId="30" xfId="0" applyFont="1" applyFill="1" applyBorder="1" applyAlignment="1">
      <alignment vertical="center" wrapText="1"/>
    </xf>
    <xf numFmtId="0" fontId="49" fillId="5" borderId="29" xfId="0" applyFont="1" applyFill="1" applyBorder="1" applyAlignment="1">
      <alignment vertical="center" wrapText="1"/>
    </xf>
    <xf numFmtId="0" fontId="49" fillId="5" borderId="30" xfId="0" applyFont="1" applyFill="1" applyBorder="1" applyAlignment="1">
      <alignment vertical="center" wrapText="1"/>
    </xf>
    <xf numFmtId="0" fontId="49" fillId="5" borderId="29" xfId="0" applyFont="1" applyFill="1" applyBorder="1" applyAlignment="1">
      <alignment vertical="center"/>
    </xf>
    <xf numFmtId="0" fontId="52" fillId="0" borderId="0" xfId="0" applyFont="1" applyFill="1"/>
    <xf numFmtId="0" fontId="50" fillId="0" borderId="37" xfId="0" applyFont="1" applyFill="1" applyBorder="1" applyAlignment="1">
      <alignment horizontal="center" vertical="center" wrapText="1"/>
    </xf>
    <xf numFmtId="0" fontId="50" fillId="0" borderId="37" xfId="0" applyFont="1" applyFill="1" applyBorder="1" applyAlignment="1">
      <alignment vertical="center" wrapText="1"/>
    </xf>
    <xf numFmtId="0" fontId="0" fillId="0" borderId="0" xfId="0" applyAlignment="1">
      <alignment horizontal="center"/>
    </xf>
    <xf numFmtId="0" fontId="50" fillId="0" borderId="37" xfId="0" applyFont="1" applyBorder="1" applyAlignment="1">
      <alignment horizontal="left" vertical="center" wrapText="1"/>
    </xf>
    <xf numFmtId="10" fontId="50" fillId="0" borderId="37" xfId="0" applyNumberFormat="1" applyFont="1" applyBorder="1" applyAlignment="1">
      <alignment horizontal="center" vertical="center" wrapText="1"/>
    </xf>
    <xf numFmtId="0" fontId="50" fillId="0" borderId="52" xfId="0" applyFont="1" applyBorder="1" applyAlignment="1">
      <alignment vertical="center" wrapText="1"/>
    </xf>
    <xf numFmtId="0" fontId="50" fillId="0" borderId="52" xfId="0" applyFont="1" applyBorder="1" applyAlignment="1">
      <alignment horizontal="center" vertical="center" wrapText="1"/>
    </xf>
    <xf numFmtId="0" fontId="50" fillId="0" borderId="52" xfId="0" applyFont="1" applyFill="1" applyBorder="1" applyAlignment="1">
      <alignment horizontal="left" vertical="center" wrapText="1"/>
    </xf>
    <xf numFmtId="0" fontId="0" fillId="0" borderId="0" xfId="0" applyAlignment="1">
      <alignment vertical="center"/>
    </xf>
    <xf numFmtId="0" fontId="50" fillId="0" borderId="52" xfId="0" applyFont="1" applyFill="1" applyBorder="1" applyAlignment="1">
      <alignment horizontal="center" vertical="center"/>
    </xf>
    <xf numFmtId="0" fontId="51" fillId="0" borderId="37" xfId="0" applyFont="1" applyBorder="1" applyAlignment="1">
      <alignment vertical="center" wrapText="1"/>
    </xf>
    <xf numFmtId="0" fontId="51" fillId="0" borderId="37" xfId="0" applyFont="1" applyFill="1" applyBorder="1" applyAlignment="1">
      <alignment vertical="center" wrapText="1"/>
    </xf>
    <xf numFmtId="0" fontId="51" fillId="6" borderId="37" xfId="0" applyFont="1" applyFill="1" applyBorder="1" applyAlignment="1">
      <alignment vertical="center" wrapText="1"/>
    </xf>
    <xf numFmtId="16" fontId="50" fillId="0" borderId="37" xfId="0" applyNumberFormat="1" applyFont="1" applyBorder="1" applyAlignment="1">
      <alignment horizontal="center" vertical="center" wrapText="1"/>
    </xf>
    <xf numFmtId="0" fontId="0" fillId="6" borderId="52" xfId="0" applyFill="1" applyBorder="1" applyAlignment="1">
      <alignment horizontal="center" vertical="center" wrapText="1"/>
    </xf>
    <xf numFmtId="0" fontId="54" fillId="0" borderId="37" xfId="0" applyFont="1" applyBorder="1" applyAlignment="1">
      <alignment horizontal="center" vertical="center" wrapText="1"/>
    </xf>
    <xf numFmtId="0" fontId="50" fillId="0" borderId="37" xfId="0" applyFont="1" applyBorder="1" applyAlignment="1">
      <alignment horizontal="center"/>
    </xf>
    <xf numFmtId="0" fontId="50" fillId="0" borderId="37" xfId="0" applyFont="1" applyFill="1" applyBorder="1" applyAlignment="1">
      <alignment horizontal="left" vertical="center" wrapText="1"/>
    </xf>
    <xf numFmtId="0" fontId="51" fillId="6" borderId="37" xfId="0" applyFont="1" applyFill="1" applyBorder="1" applyAlignment="1">
      <alignment horizontal="left" vertical="center" wrapText="1"/>
    </xf>
    <xf numFmtId="0" fontId="49" fillId="7" borderId="37" xfId="0" applyFont="1" applyFill="1" applyBorder="1" applyAlignment="1">
      <alignment vertical="center" wrapText="1"/>
    </xf>
    <xf numFmtId="0" fontId="0" fillId="0" borderId="37" xfId="0" applyBorder="1"/>
    <xf numFmtId="0" fontId="52" fillId="0" borderId="37" xfId="0" applyFont="1" applyFill="1" applyBorder="1"/>
    <xf numFmtId="0" fontId="0" fillId="0" borderId="37" xfId="0" applyBorder="1" applyAlignment="1">
      <alignment wrapText="1"/>
    </xf>
    <xf numFmtId="0" fontId="50" fillId="0" borderId="37" xfId="0" quotePrefix="1" applyFont="1" applyFill="1" applyBorder="1" applyAlignment="1">
      <alignment horizontal="left" vertical="center" wrapText="1"/>
    </xf>
    <xf numFmtId="0" fontId="50" fillId="9" borderId="37" xfId="1" applyFont="1" applyFill="1" applyBorder="1" applyAlignment="1">
      <alignment vertical="center" wrapText="1"/>
    </xf>
    <xf numFmtId="0" fontId="50" fillId="7" borderId="37" xfId="0" applyFont="1" applyFill="1" applyBorder="1" applyAlignment="1">
      <alignment vertical="center" wrapText="1"/>
    </xf>
    <xf numFmtId="0" fontId="50" fillId="0" borderId="37" xfId="1" applyFont="1" applyBorder="1" applyAlignment="1">
      <alignment vertical="center" wrapText="1"/>
    </xf>
    <xf numFmtId="0" fontId="49" fillId="8" borderId="0" xfId="0" applyFont="1" applyFill="1" applyAlignment="1">
      <alignment horizontal="center" vertical="center"/>
    </xf>
    <xf numFmtId="0" fontId="49" fillId="8" borderId="37" xfId="0" applyFont="1" applyFill="1" applyBorder="1" applyAlignment="1">
      <alignment horizontal="center" vertical="center"/>
    </xf>
    <xf numFmtId="10" fontId="50" fillId="0" borderId="37" xfId="0" applyNumberFormat="1" applyFont="1" applyBorder="1" applyAlignment="1">
      <alignment horizontal="left" vertical="center" wrapText="1"/>
    </xf>
    <xf numFmtId="0" fontId="0" fillId="9" borderId="37" xfId="0" applyFill="1" applyBorder="1" applyAlignment="1">
      <alignment vertical="center"/>
    </xf>
    <xf numFmtId="0" fontId="50" fillId="0" borderId="37" xfId="1" applyFont="1" applyBorder="1" applyAlignment="1">
      <alignment horizontal="left" vertical="center" wrapText="1"/>
    </xf>
    <xf numFmtId="0" fontId="50" fillId="0" borderId="37" xfId="0" applyFont="1" applyBorder="1" applyAlignment="1">
      <alignment vertical="center" wrapText="1"/>
    </xf>
    <xf numFmtId="0" fontId="50" fillId="7" borderId="37" xfId="0" applyFont="1" applyFill="1" applyBorder="1" applyAlignment="1">
      <alignment horizontal="center" vertical="center" wrapText="1"/>
    </xf>
    <xf numFmtId="0" fontId="50" fillId="7" borderId="37" xfId="0" applyFont="1" applyFill="1" applyBorder="1" applyAlignment="1">
      <alignment horizontal="left" vertical="center" wrapText="1"/>
    </xf>
    <xf numFmtId="0" fontId="39" fillId="4" borderId="6" xfId="0" applyFont="1" applyFill="1" applyBorder="1" applyAlignment="1" applyProtection="1">
      <alignment horizontal="left" vertical="center" wrapText="1"/>
      <protection locked="0"/>
    </xf>
    <xf numFmtId="0" fontId="37" fillId="4" borderId="6" xfId="0" applyFont="1" applyFill="1" applyBorder="1" applyAlignment="1" applyProtection="1">
      <alignment horizontal="left" vertical="center" wrapText="1"/>
    </xf>
    <xf numFmtId="0" fontId="37" fillId="4" borderId="1" xfId="0" applyFont="1" applyFill="1" applyBorder="1" applyAlignment="1" applyProtection="1">
      <alignment horizontal="left" vertical="center" wrapText="1"/>
    </xf>
    <xf numFmtId="0" fontId="42" fillId="4" borderId="22" xfId="0" applyFont="1" applyFill="1" applyBorder="1" applyAlignment="1" applyProtection="1">
      <alignment horizontal="left" vertical="center" wrapText="1"/>
    </xf>
    <xf numFmtId="0" fontId="41" fillId="4" borderId="22" xfId="0" applyFont="1" applyFill="1" applyBorder="1" applyAlignment="1" applyProtection="1">
      <alignment horizontal="left" vertical="center" wrapText="1"/>
    </xf>
    <xf numFmtId="0" fontId="41" fillId="4" borderId="24" xfId="0" applyFont="1" applyFill="1" applyBorder="1" applyAlignment="1" applyProtection="1">
      <alignment horizontal="left" vertical="center" wrapText="1"/>
    </xf>
    <xf numFmtId="0" fontId="0" fillId="0" borderId="0" xfId="0" applyBorder="1"/>
    <xf numFmtId="0" fontId="52" fillId="0" borderId="0" xfId="0" applyFont="1" applyFill="1" applyBorder="1"/>
    <xf numFmtId="0" fontId="50" fillId="9" borderId="37" xfId="0" applyFont="1" applyFill="1" applyBorder="1" applyAlignment="1">
      <alignment horizontal="left" vertical="center" wrapText="1"/>
    </xf>
    <xf numFmtId="0" fontId="0" fillId="0" borderId="37" xfId="0" applyFill="1" applyBorder="1" applyAlignment="1">
      <alignment vertical="center"/>
    </xf>
    <xf numFmtId="0" fontId="0" fillId="5" borderId="37" xfId="0" applyFill="1" applyBorder="1"/>
    <xf numFmtId="0" fontId="0" fillId="9" borderId="37" xfId="0" applyFill="1" applyBorder="1" applyAlignment="1">
      <alignment horizontal="left" vertical="center"/>
    </xf>
    <xf numFmtId="0" fontId="50" fillId="6" borderId="37" xfId="0" applyFont="1" applyFill="1" applyBorder="1" applyAlignment="1">
      <alignment horizontal="center" vertical="center" wrapText="1"/>
    </xf>
    <xf numFmtId="0" fontId="49" fillId="0" borderId="37" xfId="0" applyFont="1" applyBorder="1" applyAlignment="1">
      <alignment vertical="center" wrapText="1"/>
    </xf>
    <xf numFmtId="0" fontId="52" fillId="0" borderId="0" xfId="0" applyFont="1"/>
    <xf numFmtId="0" fontId="51" fillId="0" borderId="37" xfId="0" applyFont="1" applyBorder="1" applyAlignment="1">
      <alignment horizontal="center" vertical="center" wrapText="1"/>
    </xf>
    <xf numFmtId="0" fontId="50" fillId="0" borderId="52" xfId="0" applyFont="1" applyBorder="1" applyAlignment="1">
      <alignment horizontal="left" vertical="center" wrapText="1"/>
    </xf>
    <xf numFmtId="0" fontId="50" fillId="0" borderId="52" xfId="0" applyFont="1" applyBorder="1" applyAlignment="1">
      <alignment horizontal="center" vertical="center"/>
    </xf>
    <xf numFmtId="0" fontId="50" fillId="0" borderId="37" xfId="0" applyFont="1" applyBorder="1"/>
    <xf numFmtId="0" fontId="60" fillId="0" borderId="29" xfId="1" applyFont="1" applyBorder="1" applyAlignment="1">
      <alignment vertical="center" wrapText="1"/>
    </xf>
    <xf numFmtId="0" fontId="60" fillId="0" borderId="29" xfId="1" applyFont="1" applyFill="1" applyBorder="1" applyAlignment="1">
      <alignment vertical="center" wrapText="1"/>
    </xf>
    <xf numFmtId="0" fontId="60" fillId="9" borderId="29" xfId="1" applyFont="1" applyFill="1" applyBorder="1" applyAlignment="1">
      <alignment vertical="center" wrapText="1"/>
    </xf>
    <xf numFmtId="0" fontId="56" fillId="0" borderId="30" xfId="1" applyBorder="1" applyAlignment="1">
      <alignment horizontal="left" vertical="center"/>
    </xf>
    <xf numFmtId="0" fontId="50" fillId="0" borderId="54" xfId="0" applyFont="1" applyBorder="1" applyAlignment="1">
      <alignment vertical="center" wrapText="1"/>
    </xf>
    <xf numFmtId="0" fontId="61" fillId="10" borderId="37" xfId="0" applyFont="1" applyFill="1" applyBorder="1"/>
    <xf numFmtId="0" fontId="61" fillId="7" borderId="37" xfId="0" applyFont="1" applyFill="1" applyBorder="1" applyAlignment="1">
      <alignment horizontal="left" vertical="center" wrapText="1"/>
    </xf>
    <xf numFmtId="16" fontId="50" fillId="11" borderId="37" xfId="0" applyNumberFormat="1" applyFont="1" applyFill="1" applyBorder="1" applyAlignment="1">
      <alignment horizontal="center" vertical="center" wrapText="1"/>
    </xf>
    <xf numFmtId="0" fontId="0" fillId="11" borderId="37" xfId="0" applyFill="1" applyBorder="1"/>
    <xf numFmtId="16" fontId="50" fillId="11" borderId="54" xfId="0" applyNumberFormat="1" applyFont="1" applyFill="1" applyBorder="1" applyAlignment="1">
      <alignment horizontal="center" vertical="center" wrapText="1"/>
    </xf>
    <xf numFmtId="0" fontId="0" fillId="11" borderId="54" xfId="0" applyFill="1" applyBorder="1"/>
    <xf numFmtId="0" fontId="50" fillId="0" borderId="0" xfId="0" applyFont="1" applyBorder="1"/>
    <xf numFmtId="0" fontId="62" fillId="0" borderId="29" xfId="1" applyFont="1" applyBorder="1" applyAlignment="1">
      <alignment vertical="center" wrapText="1"/>
    </xf>
    <xf numFmtId="0" fontId="49" fillId="0" borderId="37" xfId="0" applyFont="1" applyBorder="1"/>
    <xf numFmtId="0" fontId="62" fillId="0" borderId="29" xfId="1" applyFont="1" applyBorder="1" applyAlignment="1">
      <alignment horizontal="left" vertical="center"/>
    </xf>
    <xf numFmtId="0" fontId="62" fillId="0" borderId="29" xfId="1" applyFont="1" applyFill="1" applyBorder="1" applyAlignment="1">
      <alignment vertical="center" wrapText="1"/>
    </xf>
    <xf numFmtId="0" fontId="49" fillId="5" borderId="37" xfId="0" applyFont="1" applyFill="1" applyBorder="1"/>
    <xf numFmtId="0" fontId="62" fillId="9" borderId="29" xfId="1" applyFont="1" applyFill="1" applyBorder="1" applyAlignment="1">
      <alignment vertical="center" wrapText="1"/>
    </xf>
    <xf numFmtId="0" fontId="62" fillId="0" borderId="29" xfId="1" applyFont="1" applyFill="1" applyBorder="1" applyAlignment="1">
      <alignment horizontal="left" vertical="center" wrapText="1"/>
    </xf>
    <xf numFmtId="0" fontId="49" fillId="9" borderId="37" xfId="0" applyFont="1" applyFill="1" applyBorder="1"/>
    <xf numFmtId="0" fontId="62" fillId="12" borderId="29" xfId="1" applyFont="1" applyFill="1" applyBorder="1" applyAlignment="1">
      <alignment horizontal="left" vertical="center" wrapText="1"/>
    </xf>
    <xf numFmtId="0" fontId="62" fillId="0" borderId="29" xfId="1" applyFont="1" applyBorder="1" applyAlignment="1">
      <alignment horizontal="left" vertical="center" wrapText="1"/>
    </xf>
    <xf numFmtId="0" fontId="62" fillId="0" borderId="29" xfId="1" applyFont="1" applyFill="1" applyBorder="1" applyAlignment="1">
      <alignment horizontal="left" vertical="center"/>
    </xf>
    <xf numFmtId="0" fontId="62" fillId="9" borderId="29" xfId="1" applyFont="1" applyFill="1" applyBorder="1" applyAlignment="1">
      <alignment horizontal="left" vertical="center" wrapText="1"/>
    </xf>
    <xf numFmtId="0" fontId="49" fillId="11" borderId="37" xfId="0" applyFont="1" applyFill="1" applyBorder="1"/>
    <xf numFmtId="0" fontId="49" fillId="11" borderId="54" xfId="0" applyFont="1" applyFill="1" applyBorder="1"/>
    <xf numFmtId="0" fontId="49" fillId="0" borderId="0" xfId="0" applyFont="1" applyBorder="1"/>
    <xf numFmtId="0" fontId="49" fillId="9" borderId="37" xfId="0" applyFont="1" applyFill="1" applyBorder="1" applyAlignment="1">
      <alignment vertical="center"/>
    </xf>
    <xf numFmtId="0" fontId="49" fillId="0" borderId="0" xfId="0" applyFont="1"/>
    <xf numFmtId="0" fontId="37" fillId="4" borderId="6" xfId="0" applyFont="1" applyFill="1" applyBorder="1" applyAlignment="1" applyProtection="1">
      <alignment horizontal="left" vertical="center" wrapText="1"/>
    </xf>
    <xf numFmtId="0" fontId="37" fillId="4" borderId="1" xfId="0" applyFont="1" applyFill="1" applyBorder="1" applyAlignment="1" applyProtection="1">
      <alignment horizontal="left" vertical="center" wrapText="1"/>
    </xf>
    <xf numFmtId="0" fontId="42" fillId="4" borderId="22" xfId="0" applyFont="1" applyFill="1" applyBorder="1" applyAlignment="1" applyProtection="1">
      <alignment horizontal="left" vertical="center" wrapText="1"/>
    </xf>
    <xf numFmtId="0" fontId="41" fillId="4" borderId="22" xfId="0" applyFont="1" applyFill="1" applyBorder="1" applyAlignment="1" applyProtection="1">
      <alignment horizontal="left" vertical="center" wrapText="1"/>
    </xf>
    <xf numFmtId="0" fontId="41" fillId="4" borderId="24" xfId="0" applyFont="1" applyFill="1" applyBorder="1" applyAlignment="1" applyProtection="1">
      <alignment horizontal="left" vertical="center" wrapText="1"/>
    </xf>
    <xf numFmtId="0" fontId="39" fillId="4" borderId="6" xfId="0" applyFont="1" applyFill="1" applyBorder="1" applyAlignment="1" applyProtection="1">
      <alignment horizontal="left" vertical="center" wrapText="1"/>
      <protection locked="0"/>
    </xf>
    <xf numFmtId="0" fontId="56" fillId="0" borderId="29" xfId="1" applyBorder="1" applyAlignment="1">
      <alignment horizontal="left" vertical="center" wrapText="1"/>
    </xf>
    <xf numFmtId="0" fontId="56" fillId="0" borderId="29" xfId="1" applyBorder="1" applyAlignment="1">
      <alignment horizontal="left" vertical="center"/>
    </xf>
    <xf numFmtId="0" fontId="56" fillId="0" borderId="29" xfId="1" applyBorder="1" applyAlignment="1">
      <alignment vertical="center" wrapText="1"/>
    </xf>
    <xf numFmtId="0" fontId="51" fillId="10" borderId="50" xfId="0" applyFont="1" applyFill="1" applyBorder="1" applyAlignment="1"/>
    <xf numFmtId="0" fontId="49" fillId="10" borderId="57" xfId="0" applyFont="1" applyFill="1" applyBorder="1" applyAlignment="1"/>
    <xf numFmtId="0" fontId="49" fillId="10" borderId="32" xfId="0" applyFont="1" applyFill="1" applyBorder="1" applyAlignment="1"/>
    <xf numFmtId="0" fontId="50" fillId="0" borderId="54" xfId="0" applyFont="1" applyBorder="1" applyAlignment="1">
      <alignment vertical="center" wrapText="1"/>
    </xf>
    <xf numFmtId="0" fontId="0" fillId="0" borderId="55" xfId="0" applyBorder="1" applyAlignment="1">
      <alignment vertical="center"/>
    </xf>
    <xf numFmtId="0" fontId="0" fillId="0" borderId="52" xfId="0" applyBorder="1" applyAlignment="1">
      <alignment vertical="center"/>
    </xf>
    <xf numFmtId="0" fontId="50" fillId="0" borderId="53" xfId="0" applyFont="1" applyBorder="1" applyAlignment="1">
      <alignment horizontal="left" vertical="center" wrapText="1"/>
    </xf>
    <xf numFmtId="0" fontId="0" fillId="0" borderId="32" xfId="0" applyBorder="1" applyAlignment="1">
      <alignment horizontal="left" vertical="center" wrapText="1"/>
    </xf>
    <xf numFmtId="0" fontId="50" fillId="0" borderId="56" xfId="0" applyFont="1" applyBorder="1" applyAlignment="1">
      <alignment vertical="center" wrapText="1"/>
    </xf>
    <xf numFmtId="0" fontId="0" fillId="0" borderId="50" xfId="0" applyBorder="1" applyAlignment="1">
      <alignment vertical="center" wrapText="1"/>
    </xf>
    <xf numFmtId="0" fontId="50" fillId="0" borderId="37" xfId="0" applyFont="1" applyBorder="1" applyAlignment="1">
      <alignment vertical="center" wrapText="1"/>
    </xf>
    <xf numFmtId="0" fontId="0" fillId="0" borderId="37" xfId="0" applyBorder="1" applyAlignment="1">
      <alignment vertical="center" wrapText="1"/>
    </xf>
    <xf numFmtId="0" fontId="50" fillId="0" borderId="54" xfId="0" applyFont="1" applyBorder="1" applyAlignment="1">
      <alignment horizontal="left" vertical="center" wrapText="1"/>
    </xf>
    <xf numFmtId="0" fontId="0" fillId="0" borderId="55" xfId="0" applyBorder="1" applyAlignment="1">
      <alignment horizontal="left" vertical="center" wrapText="1"/>
    </xf>
    <xf numFmtId="0" fontId="0" fillId="0" borderId="52" xfId="0" applyBorder="1" applyAlignment="1">
      <alignment horizontal="left" vertical="center" wrapText="1"/>
    </xf>
    <xf numFmtId="0" fontId="0" fillId="0" borderId="25" xfId="0" applyBorder="1" applyAlignment="1">
      <alignment horizontal="left" vertical="center" wrapText="1"/>
    </xf>
    <xf numFmtId="0" fontId="0" fillId="0" borderId="55" xfId="0" applyBorder="1" applyAlignment="1">
      <alignment vertical="center" wrapText="1"/>
    </xf>
    <xf numFmtId="0" fontId="0" fillId="0" borderId="52" xfId="0" applyBorder="1" applyAlignment="1">
      <alignment vertical="center" wrapText="1"/>
    </xf>
    <xf numFmtId="0" fontId="20" fillId="0" borderId="6" xfId="0" applyFont="1" applyBorder="1" applyAlignment="1" applyProtection="1">
      <alignment horizontal="center" vertical="center" wrapText="1"/>
    </xf>
    <xf numFmtId="0" fontId="20" fillId="0" borderId="7" xfId="0" applyFont="1" applyBorder="1" applyAlignment="1" applyProtection="1">
      <alignment horizontal="center" vertical="center" wrapText="1"/>
    </xf>
    <xf numFmtId="0" fontId="3" fillId="0" borderId="10" xfId="0" applyFont="1" applyBorder="1" applyAlignment="1" applyProtection="1">
      <alignment horizontal="center" vertical="center"/>
    </xf>
    <xf numFmtId="0" fontId="3" fillId="0" borderId="33" xfId="0" applyFont="1" applyBorder="1" applyAlignment="1" applyProtection="1">
      <alignment horizontal="center" vertical="center"/>
    </xf>
    <xf numFmtId="0" fontId="3" fillId="0" borderId="11" xfId="0" applyFont="1" applyBorder="1" applyAlignment="1" applyProtection="1">
      <alignment horizontal="center" vertical="center"/>
    </xf>
    <xf numFmtId="0" fontId="20" fillId="0" borderId="1" xfId="0" applyFont="1" applyBorder="1" applyAlignment="1" applyProtection="1">
      <alignment horizontal="center" vertical="center" wrapText="1"/>
    </xf>
    <xf numFmtId="0" fontId="20" fillId="0" borderId="14" xfId="0" applyFont="1" applyBorder="1" applyAlignment="1" applyProtection="1">
      <alignment horizontal="center" vertical="center"/>
    </xf>
    <xf numFmtId="0" fontId="20" fillId="0" borderId="18" xfId="0" applyFont="1" applyBorder="1" applyAlignment="1" applyProtection="1">
      <alignment horizontal="center" vertical="center"/>
    </xf>
    <xf numFmtId="0" fontId="23" fillId="0" borderId="36" xfId="0" applyFont="1" applyBorder="1" applyAlignment="1" applyProtection="1">
      <alignment horizontal="center" vertical="center"/>
    </xf>
    <xf numFmtId="0" fontId="15" fillId="0" borderId="12" xfId="0" applyFont="1" applyBorder="1" applyAlignment="1" applyProtection="1">
      <alignment horizontal="center" vertical="center"/>
    </xf>
    <xf numFmtId="0" fontId="15" fillId="0" borderId="36" xfId="0" applyFont="1" applyBorder="1" applyAlignment="1" applyProtection="1">
      <alignment horizontal="center" vertical="center"/>
    </xf>
    <xf numFmtId="0" fontId="14" fillId="0" borderId="36" xfId="0" applyFont="1" applyBorder="1" applyAlignment="1" applyProtection="1">
      <alignment horizontal="center" vertical="center"/>
    </xf>
    <xf numFmtId="0" fontId="14" fillId="0" borderId="13" xfId="0" applyFont="1" applyBorder="1" applyAlignment="1" applyProtection="1">
      <alignment horizontal="center" vertical="center"/>
    </xf>
    <xf numFmtId="0" fontId="13" fillId="0" borderId="12" xfId="0" applyFont="1" applyBorder="1" applyAlignment="1" applyProtection="1">
      <alignment horizontal="center" vertical="center"/>
    </xf>
    <xf numFmtId="0" fontId="13" fillId="0" borderId="36" xfId="0" applyFont="1" applyBorder="1" applyAlignment="1" applyProtection="1">
      <alignment horizontal="center" vertical="center"/>
    </xf>
    <xf numFmtId="0" fontId="39" fillId="4" borderId="6" xfId="0" applyFont="1" applyFill="1" applyBorder="1" applyAlignment="1" applyProtection="1">
      <alignment horizontal="left" vertical="center" wrapText="1"/>
      <protection locked="0"/>
    </xf>
    <xf numFmtId="0" fontId="39" fillId="4" borderId="7" xfId="0" applyFont="1" applyFill="1" applyBorder="1" applyAlignment="1" applyProtection="1">
      <alignment horizontal="left" vertical="center" wrapText="1"/>
      <protection locked="0"/>
    </xf>
    <xf numFmtId="0" fontId="34" fillId="2" borderId="49" xfId="0" applyFont="1" applyFill="1" applyBorder="1" applyAlignment="1" applyProtection="1">
      <alignment horizontal="left" vertical="center"/>
      <protection locked="0"/>
    </xf>
    <xf numFmtId="0" fontId="31" fillId="2" borderId="49" xfId="0" applyFont="1" applyFill="1" applyBorder="1" applyAlignment="1" applyProtection="1">
      <alignment horizontal="left" vertical="center"/>
      <protection hidden="1"/>
    </xf>
    <xf numFmtId="0" fontId="10" fillId="0" borderId="0" xfId="0" applyFont="1" applyBorder="1" applyAlignment="1">
      <alignment horizontal="left"/>
    </xf>
    <xf numFmtId="0" fontId="16" fillId="0" borderId="36" xfId="0" applyFont="1" applyBorder="1" applyAlignment="1" applyProtection="1">
      <alignment horizontal="center" vertical="center"/>
    </xf>
    <xf numFmtId="0" fontId="22" fillId="0" borderId="36" xfId="0" applyFont="1" applyBorder="1" applyAlignment="1" applyProtection="1">
      <alignment horizontal="center" vertical="center"/>
    </xf>
    <xf numFmtId="0" fontId="22" fillId="0" borderId="13" xfId="0" applyFont="1" applyBorder="1" applyAlignment="1" applyProtection="1">
      <alignment horizontal="center" vertical="center"/>
    </xf>
    <xf numFmtId="0" fontId="1" fillId="2" borderId="2" xfId="0" applyFont="1" applyFill="1" applyBorder="1" applyAlignment="1" applyProtection="1">
      <alignment horizontal="center" vertical="center"/>
      <protection hidden="1"/>
    </xf>
    <xf numFmtId="0" fontId="1" fillId="2" borderId="3" xfId="0" applyFont="1" applyFill="1" applyBorder="1" applyAlignment="1" applyProtection="1">
      <alignment horizontal="center" vertical="center"/>
      <protection hidden="1"/>
    </xf>
    <xf numFmtId="0" fontId="1" fillId="2" borderId="4" xfId="0" applyFont="1" applyFill="1" applyBorder="1" applyAlignment="1" applyProtection="1">
      <alignment horizontal="center" vertical="center"/>
      <protection hidden="1"/>
    </xf>
    <xf numFmtId="0" fontId="37" fillId="4" borderId="6" xfId="0" applyFont="1" applyFill="1" applyBorder="1" applyAlignment="1" applyProtection="1">
      <alignment horizontal="left" vertical="center" wrapText="1"/>
    </xf>
    <xf numFmtId="0" fontId="37" fillId="4" borderId="1" xfId="0" applyFont="1" applyFill="1" applyBorder="1" applyAlignment="1" applyProtection="1">
      <alignment horizontal="left" vertical="center" wrapText="1"/>
    </xf>
    <xf numFmtId="0" fontId="41" fillId="4" borderId="51" xfId="0" applyFont="1" applyFill="1" applyBorder="1" applyAlignment="1" applyProtection="1">
      <alignment horizontal="left" vertical="center" wrapText="1"/>
    </xf>
    <xf numFmtId="0" fontId="41" fillId="4" borderId="49" xfId="0" applyFont="1" applyFill="1" applyBorder="1" applyAlignment="1" applyProtection="1">
      <alignment horizontal="left" vertical="center" wrapText="1"/>
    </xf>
    <xf numFmtId="0" fontId="42" fillId="4" borderId="22" xfId="0" applyFont="1" applyFill="1" applyBorder="1" applyAlignment="1" applyProtection="1">
      <alignment horizontal="left" vertical="center" wrapText="1"/>
    </xf>
    <xf numFmtId="0" fontId="42" fillId="4" borderId="24" xfId="0" applyFont="1" applyFill="1" applyBorder="1" applyAlignment="1" applyProtection="1">
      <alignment horizontal="left" vertical="center" wrapText="1"/>
    </xf>
    <xf numFmtId="0" fontId="41" fillId="4" borderId="22" xfId="0" applyFont="1" applyFill="1" applyBorder="1" applyAlignment="1" applyProtection="1">
      <alignment horizontal="left" vertical="center" wrapText="1"/>
    </xf>
    <xf numFmtId="0" fontId="41" fillId="4" borderId="24" xfId="0" applyFont="1" applyFill="1" applyBorder="1" applyAlignment="1" applyProtection="1">
      <alignment horizontal="left" vertical="center" wrapText="1"/>
    </xf>
    <xf numFmtId="0" fontId="41" fillId="4" borderId="50" xfId="0" applyFont="1" applyFill="1" applyBorder="1" applyAlignment="1" applyProtection="1">
      <alignment horizontal="left" vertical="center" wrapText="1"/>
    </xf>
    <xf numFmtId="0" fontId="45" fillId="4" borderId="23" xfId="0" applyFont="1" applyFill="1" applyBorder="1" applyAlignment="1" applyProtection="1">
      <alignment horizontal="center" wrapText="1"/>
      <protection locked="0" hidden="1"/>
    </xf>
    <xf numFmtId="0" fontId="45" fillId="4" borderId="25" xfId="0" applyFont="1" applyFill="1" applyBorder="1" applyAlignment="1" applyProtection="1">
      <alignment horizontal="center" wrapText="1"/>
      <protection locked="0" hidden="1"/>
    </xf>
    <xf numFmtId="0" fontId="45" fillId="4" borderId="32" xfId="0" applyFont="1" applyFill="1" applyBorder="1" applyAlignment="1" applyProtection="1">
      <alignment horizontal="center" wrapText="1"/>
      <protection locked="0" hidden="1"/>
    </xf>
    <xf numFmtId="0" fontId="43" fillId="4" borderId="22" xfId="0" applyFont="1" applyFill="1" applyBorder="1" applyAlignment="1" applyProtection="1">
      <alignment horizontal="left" vertical="center" wrapText="1"/>
    </xf>
    <xf numFmtId="0" fontId="43" fillId="4" borderId="24" xfId="0" applyFont="1" applyFill="1" applyBorder="1" applyAlignment="1" applyProtection="1">
      <alignment horizontal="left" vertical="center" wrapText="1"/>
    </xf>
    <xf numFmtId="0" fontId="6" fillId="0" borderId="37" xfId="0" applyFont="1" applyBorder="1" applyAlignment="1">
      <alignment horizontal="left" vertical="center" wrapText="1"/>
    </xf>
    <xf numFmtId="0" fontId="8" fillId="2" borderId="0" xfId="0" applyFont="1" applyFill="1" applyBorder="1" applyAlignment="1" applyProtection="1">
      <alignment horizontal="right" vertical="center" wrapText="1"/>
      <protection hidden="1"/>
    </xf>
    <xf numFmtId="0" fontId="6" fillId="0" borderId="33" xfId="0" applyFont="1" applyBorder="1" applyAlignment="1">
      <alignment horizontal="left" vertical="center" wrapText="1"/>
    </xf>
    <xf numFmtId="0" fontId="9" fillId="0" borderId="43" xfId="0" applyFont="1" applyBorder="1" applyAlignment="1">
      <alignment horizontal="left" vertical="center"/>
    </xf>
    <xf numFmtId="0" fontId="6" fillId="0" borderId="39" xfId="0" applyFont="1" applyBorder="1" applyAlignment="1">
      <alignment horizontal="left" vertical="center" wrapText="1"/>
    </xf>
    <xf numFmtId="0" fontId="6" fillId="0" borderId="36" xfId="0" applyFont="1" applyBorder="1" applyAlignment="1">
      <alignment horizontal="left" vertical="center" wrapText="1"/>
    </xf>
    <xf numFmtId="0" fontId="9" fillId="0" borderId="43" xfId="0" applyFont="1" applyBorder="1" applyAlignment="1">
      <alignment horizontal="center" vertical="center"/>
    </xf>
    <xf numFmtId="0" fontId="1" fillId="0" borderId="0" xfId="0" applyFont="1" applyAlignment="1" applyProtection="1">
      <alignment horizontal="center" vertical="center"/>
      <protection hidden="1"/>
    </xf>
    <xf numFmtId="0" fontId="6" fillId="0" borderId="46" xfId="0" applyFont="1" applyBorder="1" applyAlignment="1">
      <alignment horizontal="center" vertical="center" textRotation="90"/>
    </xf>
    <xf numFmtId="0" fontId="6" fillId="0" borderId="47" xfId="0" applyFont="1" applyBorder="1" applyAlignment="1">
      <alignment horizontal="center" vertical="center" textRotation="90"/>
    </xf>
    <xf numFmtId="0" fontId="6" fillId="0" borderId="48" xfId="0" applyFont="1" applyBorder="1" applyAlignment="1">
      <alignment horizontal="center" vertical="center" textRotation="90"/>
    </xf>
    <xf numFmtId="0" fontId="6" fillId="0" borderId="34" xfId="0" applyFont="1" applyBorder="1" applyAlignment="1">
      <alignment horizontal="center" vertical="center" textRotation="90"/>
    </xf>
    <xf numFmtId="0" fontId="6" fillId="0" borderId="16" xfId="0" applyFont="1" applyBorder="1" applyAlignment="1">
      <alignment horizontal="center" vertical="center" textRotation="90"/>
    </xf>
    <xf numFmtId="0" fontId="6" fillId="0" borderId="18" xfId="0" applyFont="1" applyBorder="1" applyAlignment="1">
      <alignment horizontal="center" vertical="center" textRotation="90"/>
    </xf>
    <xf numFmtId="0" fontId="6" fillId="0" borderId="10" xfId="0" applyFont="1" applyBorder="1" applyAlignment="1">
      <alignment horizontal="center" vertical="center" textRotation="90"/>
    </xf>
    <xf numFmtId="0" fontId="6" fillId="0" borderId="41" xfId="0" applyFont="1" applyBorder="1" applyAlignment="1">
      <alignment horizontal="center" vertical="center" textRotation="90"/>
    </xf>
    <xf numFmtId="0" fontId="6" fillId="0" borderId="12" xfId="0" applyFont="1" applyBorder="1" applyAlignment="1">
      <alignment horizontal="center" vertical="center" textRotation="90"/>
    </xf>
    <xf numFmtId="0" fontId="6" fillId="0" borderId="10" xfId="0" applyFont="1" applyBorder="1" applyAlignment="1">
      <alignment horizontal="center" vertical="center" textRotation="90" wrapText="1"/>
    </xf>
    <xf numFmtId="0" fontId="6" fillId="0" borderId="41" xfId="0" applyFont="1" applyBorder="1" applyAlignment="1">
      <alignment horizontal="center" vertical="center" textRotation="90" wrapText="1"/>
    </xf>
    <xf numFmtId="0" fontId="6" fillId="0" borderId="12" xfId="0" applyFont="1" applyBorder="1" applyAlignment="1">
      <alignment horizontal="center" vertical="center" textRotation="90" wrapText="1"/>
    </xf>
    <xf numFmtId="0" fontId="27" fillId="2" borderId="0" xfId="0" applyFont="1" applyFill="1" applyAlignment="1">
      <alignment horizontal="left" vertical="top" wrapText="1"/>
    </xf>
    <xf numFmtId="0" fontId="27" fillId="2" borderId="0" xfId="0" applyFont="1" applyFill="1" applyAlignment="1">
      <alignment horizontal="left" vertical="top"/>
    </xf>
    <xf numFmtId="0" fontId="21" fillId="2" borderId="6" xfId="0" applyFont="1" applyFill="1" applyBorder="1" applyAlignment="1">
      <alignment horizontal="center" vertical="center" wrapText="1"/>
    </xf>
    <xf numFmtId="0" fontId="21" fillId="2" borderId="51" xfId="0" applyFont="1" applyFill="1" applyBorder="1" applyAlignment="1">
      <alignment horizontal="center" vertical="center" wrapText="1"/>
    </xf>
    <xf numFmtId="0" fontId="21" fillId="2" borderId="8" xfId="0" applyFont="1" applyFill="1" applyBorder="1" applyAlignment="1">
      <alignment horizontal="center" vertical="center" wrapText="1"/>
    </xf>
    <xf numFmtId="0" fontId="21" fillId="2" borderId="0" xfId="0" applyFont="1" applyFill="1" applyAlignment="1">
      <alignment horizontal="left" vertical="center"/>
    </xf>
  </cellXfs>
  <cellStyles count="2">
    <cellStyle name="Hyperlink" xfId="1" builtinId="8"/>
    <cellStyle name="Normal" xfId="0" builtinId="0"/>
  </cellStyles>
  <dxfs count="46">
    <dxf>
      <font>
        <color rgb="FF0033CC"/>
      </font>
    </dxf>
    <dxf>
      <font>
        <color rgb="FFC00000"/>
      </font>
    </dxf>
    <dxf>
      <font>
        <color rgb="FF0033CC"/>
      </font>
    </dxf>
    <dxf>
      <font>
        <color rgb="FFC00000"/>
      </font>
    </dxf>
    <dxf>
      <font>
        <b/>
        <i val="0"/>
        <color rgb="FF00B050"/>
      </font>
    </dxf>
    <dxf>
      <font>
        <b/>
        <i val="0"/>
        <color rgb="FF0070C0"/>
      </font>
    </dxf>
    <dxf>
      <font>
        <b/>
        <i val="0"/>
        <color rgb="FFC00000"/>
      </font>
    </dxf>
    <dxf>
      <font>
        <b/>
        <i val="0"/>
        <color theme="5"/>
      </font>
    </dxf>
    <dxf>
      <font>
        <b/>
        <i val="0"/>
        <color rgb="FFFF66CC"/>
      </font>
    </dxf>
    <dxf>
      <font>
        <color rgb="FF0033CC"/>
      </font>
    </dxf>
    <dxf>
      <font>
        <color rgb="FFC00000"/>
      </font>
    </dxf>
    <dxf>
      <font>
        <color rgb="FF0033CC"/>
      </font>
    </dxf>
    <dxf>
      <font>
        <color rgb="FFC00000"/>
      </font>
    </dxf>
    <dxf>
      <font>
        <b/>
        <i val="0"/>
        <color rgb="FF00B050"/>
      </font>
    </dxf>
    <dxf>
      <font>
        <b/>
        <i val="0"/>
        <color rgb="FF0070C0"/>
      </font>
    </dxf>
    <dxf>
      <font>
        <b/>
        <i val="0"/>
        <color rgb="FFC00000"/>
      </font>
    </dxf>
    <dxf>
      <font>
        <b/>
        <i val="0"/>
        <color theme="5"/>
      </font>
    </dxf>
    <dxf>
      <font>
        <b/>
        <i val="0"/>
        <color rgb="FFFF66CC"/>
      </font>
    </dxf>
    <dxf>
      <font>
        <strike val="0"/>
        <color rgb="FF0000FF"/>
      </font>
    </dxf>
    <dxf>
      <font>
        <strike val="0"/>
        <color rgb="FF00B050"/>
      </font>
    </dxf>
    <dxf>
      <font>
        <color rgb="FFFF3399"/>
      </font>
    </dxf>
    <dxf>
      <font>
        <strike val="0"/>
        <color theme="5"/>
      </font>
    </dxf>
    <dxf>
      <font>
        <strike val="0"/>
        <color rgb="FFFF0000"/>
      </font>
    </dxf>
    <dxf>
      <font>
        <color rgb="FF0033CC"/>
      </font>
    </dxf>
    <dxf>
      <font>
        <color rgb="FFC00000"/>
      </font>
    </dxf>
    <dxf>
      <font>
        <color rgb="FF0033CC"/>
      </font>
    </dxf>
    <dxf>
      <font>
        <color rgb="FFC00000"/>
      </font>
    </dxf>
    <dxf>
      <font>
        <b/>
        <i val="0"/>
        <color rgb="FF00B050"/>
      </font>
    </dxf>
    <dxf>
      <font>
        <b/>
        <i val="0"/>
        <color rgb="FF0070C0"/>
      </font>
    </dxf>
    <dxf>
      <font>
        <b/>
        <i val="0"/>
        <color rgb="FFC00000"/>
      </font>
    </dxf>
    <dxf>
      <font>
        <b/>
        <i val="0"/>
        <color theme="5"/>
      </font>
    </dxf>
    <dxf>
      <font>
        <b/>
        <i val="0"/>
        <color rgb="FFFF66CC"/>
      </font>
    </dxf>
    <dxf>
      <font>
        <color rgb="FF0033CC"/>
      </font>
    </dxf>
    <dxf>
      <font>
        <color rgb="FFC00000"/>
      </font>
    </dxf>
    <dxf>
      <font>
        <color rgb="FF0033CC"/>
      </font>
    </dxf>
    <dxf>
      <font>
        <color rgb="FFC00000"/>
      </font>
    </dxf>
    <dxf>
      <font>
        <b/>
        <i val="0"/>
        <color rgb="FF00B050"/>
      </font>
    </dxf>
    <dxf>
      <font>
        <b/>
        <i val="0"/>
        <color rgb="FF0070C0"/>
      </font>
    </dxf>
    <dxf>
      <font>
        <b/>
        <i val="0"/>
        <color rgb="FFC00000"/>
      </font>
    </dxf>
    <dxf>
      <font>
        <b/>
        <i val="0"/>
        <color theme="5"/>
      </font>
    </dxf>
    <dxf>
      <font>
        <b/>
        <i val="0"/>
        <color rgb="FFFF66CC"/>
      </font>
    </dxf>
    <dxf>
      <font>
        <strike val="0"/>
        <color rgb="FF0000FF"/>
      </font>
    </dxf>
    <dxf>
      <font>
        <strike val="0"/>
        <color rgb="FF00B050"/>
      </font>
    </dxf>
    <dxf>
      <font>
        <color rgb="FFFF3399"/>
      </font>
    </dxf>
    <dxf>
      <font>
        <strike val="0"/>
        <color theme="5"/>
      </font>
    </dxf>
    <dxf>
      <font>
        <strike val="0"/>
        <color rgb="FFFF0000"/>
      </font>
    </dxf>
  </dxfs>
  <tableStyles count="0" defaultTableStyle="TableStyleMedium2" defaultPivotStyle="PivotStyleLight16"/>
  <colors>
    <mruColors>
      <color rgb="FFFFCC00"/>
      <color rgb="FFECECEC"/>
      <color rgb="FFF2F2F2"/>
      <color rgb="FFF9F9F9"/>
      <color rgb="FF0033CC"/>
      <color rgb="FFDF6613"/>
      <color rgb="FFFFFFCC"/>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fmlaLink="$C$8" noThreeD="1"/>
</file>

<file path=xl/ctrlProps/ctrlProp2.xml><?xml version="1.0" encoding="utf-8"?>
<formControlPr xmlns="http://schemas.microsoft.com/office/spreadsheetml/2009/9/main" objectType="CheckBox" fmlaLink="$E$11" noThreeD="1"/>
</file>

<file path=xl/ctrlProps/ctrlProp3.xml><?xml version="1.0" encoding="utf-8"?>
<formControlPr xmlns="http://schemas.microsoft.com/office/spreadsheetml/2009/9/main" objectType="CheckBox" fmlaLink="$I$8" noThreeD="1"/>
</file>

<file path=xl/ctrlProps/ctrlProp4.xml><?xml version="1.0" encoding="utf-8"?>
<formControlPr xmlns="http://schemas.microsoft.com/office/spreadsheetml/2009/9/main" objectType="CheckBox" fmlaLink="$K$8" noThreeD="1"/>
</file>

<file path=xl/ctrlProps/ctrlProp5.xml><?xml version="1.0" encoding="utf-8"?>
<formControlPr xmlns="http://schemas.microsoft.com/office/spreadsheetml/2009/9/main" objectType="CheckBox" fmlaLink="$C$9" noThreeD="1"/>
</file>

<file path=xl/ctrlProps/ctrlProp6.xml><?xml version="1.0" encoding="utf-8"?>
<formControlPr xmlns="http://schemas.microsoft.com/office/spreadsheetml/2009/9/main" objectType="CheckBox" fmlaLink="$C$10" noThreeD="1"/>
</file>

<file path=xl/ctrlProps/ctrlProp7.xml><?xml version="1.0" encoding="utf-8"?>
<formControlPr xmlns="http://schemas.microsoft.com/office/spreadsheetml/2009/9/main" objectType="CheckBox" fmlaLink="$E$12" noThreeD="1"/>
</file>

<file path=xl/ctrlProps/ctrlProp8.xml><?xml version="1.0" encoding="utf-8"?>
<formControlPr xmlns="http://schemas.microsoft.com/office/spreadsheetml/2009/9/main" objectType="CheckBox" fmlaLink="$E$13" noThreeD="1"/>
</file>

<file path=xl/ctrlProps/ctrlProp9.xml><?xml version="1.0" encoding="utf-8"?>
<formControlPr xmlns="http://schemas.microsoft.com/office/spreadsheetml/2009/9/main" objectType="CheckBox" fmlaLink="$E$14" noThreeD="1"/>
</file>

<file path=xl/ctrlProps/ctrlProp10.xml><?xml version="1.0" encoding="utf-8"?>
<formControlPr xmlns="http://schemas.microsoft.com/office/spreadsheetml/2009/9/main" objectType="CheckBox" fmlaLink="$G$11" noThreeD="1"/>
</file>

<file path=xl/ctrlProps/ctrlProp11.xml><?xml version="1.0" encoding="utf-8"?>
<formControlPr xmlns="http://schemas.microsoft.com/office/spreadsheetml/2009/9/main" objectType="CheckBox" fmlaLink="$I$11" noThreeD="1"/>
</file>

<file path=xl/ctrlProps/ctrlProp12.xml><?xml version="1.0" encoding="utf-8"?>
<formControlPr xmlns="http://schemas.microsoft.com/office/spreadsheetml/2009/9/main" objectType="CheckBox" fmlaLink="$I$14" noThreeD="1"/>
</file>

<file path=xl/ctrlProps/ctrlProp13.xml><?xml version="1.0" encoding="utf-8"?>
<formControlPr xmlns="http://schemas.microsoft.com/office/spreadsheetml/2009/9/main" objectType="CheckBox" fmlaLink="$K$11" noThreeD="1"/>
</file>

<file path=xl/ctrlProps/ctrlProp14.xml><?xml version="1.0" encoding="utf-8"?>
<formControlPr xmlns="http://schemas.microsoft.com/office/spreadsheetml/2009/9/main" objectType="CheckBox" fmlaLink="$M$11" noThreeD="1"/>
</file>

<file path=xl/ctrlProps/ctrlProp15.xml><?xml version="1.0" encoding="utf-8"?>
<formControlPr xmlns="http://schemas.microsoft.com/office/spreadsheetml/2009/9/main" objectType="CheckBox" fmlaLink="$C$15" noThreeD="1"/>
</file>

<file path=xl/ctrlProps/ctrlProp16.xml><?xml version="1.0" encoding="utf-8"?>
<formControlPr xmlns="http://schemas.microsoft.com/office/spreadsheetml/2009/9/main" objectType="CheckBox" fmlaLink="$G$15" noThreeD="1"/>
</file>

<file path=xl/ctrlProps/ctrlProp17.xml><?xml version="1.0" encoding="utf-8"?>
<formControlPr xmlns="http://schemas.microsoft.com/office/spreadsheetml/2009/9/main" objectType="CheckBox" fmlaLink="$I$15" noThreeD="1"/>
</file>

<file path=xl/ctrlProps/ctrlProp18.xml><?xml version="1.0" encoding="utf-8"?>
<formControlPr xmlns="http://schemas.microsoft.com/office/spreadsheetml/2009/9/main" objectType="CheckBox" fmlaLink="$K$15" noThreeD="1"/>
</file>

<file path=xl/ctrlProps/ctrlProp19.xml><?xml version="1.0" encoding="utf-8"?>
<formControlPr xmlns="http://schemas.microsoft.com/office/spreadsheetml/2009/9/main" objectType="CheckBox" fmlaLink="$K$16" noThreeD="1"/>
</file>

<file path=xl/ctrlProps/ctrlProp20.xml><?xml version="1.0" encoding="utf-8"?>
<formControlPr xmlns="http://schemas.microsoft.com/office/spreadsheetml/2009/9/main" objectType="CheckBox" fmlaLink="$I$16" noThreeD="1"/>
</file>

<file path=xl/ctrlProps/ctrlProp21.xml><?xml version="1.0" encoding="utf-8"?>
<formControlPr xmlns="http://schemas.microsoft.com/office/spreadsheetml/2009/9/main" objectType="CheckBox" fmlaLink="$G$16" noThreeD="1"/>
</file>

<file path=xl/ctrlProps/ctrlProp22.xml><?xml version="1.0" encoding="utf-8"?>
<formControlPr xmlns="http://schemas.microsoft.com/office/spreadsheetml/2009/9/main" objectType="CheckBox" fmlaLink="$I$17" noThreeD="1"/>
</file>

<file path=xl/ctrlProps/ctrlProp23.xml><?xml version="1.0" encoding="utf-8"?>
<formControlPr xmlns="http://schemas.microsoft.com/office/spreadsheetml/2009/9/main" objectType="CheckBox" fmlaLink="$K$17" noThreeD="1"/>
</file>

<file path=xl/ctrlProps/ctrlProp24.xml><?xml version="1.0" encoding="utf-8"?>
<formControlPr xmlns="http://schemas.microsoft.com/office/spreadsheetml/2009/9/main" objectType="CheckBox" fmlaLink="$C$16" noThreeD="1"/>
</file>

<file path=xl/ctrlProps/ctrlProp25.xml><?xml version="1.0" encoding="utf-8"?>
<formControlPr xmlns="http://schemas.microsoft.com/office/spreadsheetml/2009/9/main" objectType="CheckBox" fmlaLink="$E$18" noThreeD="1"/>
</file>

<file path=xl/ctrlProps/ctrlProp26.xml><?xml version="1.0" encoding="utf-8"?>
<formControlPr xmlns="http://schemas.microsoft.com/office/spreadsheetml/2009/9/main" objectType="CheckBox" fmlaLink="$E$19" noThreeD="1"/>
</file>

<file path=xl/ctrlProps/ctrlProp27.xml><?xml version="1.0" encoding="utf-8"?>
<formControlPr xmlns="http://schemas.microsoft.com/office/spreadsheetml/2009/9/main" objectType="CheckBox" fmlaLink="$E$20" noThreeD="1"/>
</file>

<file path=xl/ctrlProps/ctrlProp28.xml><?xml version="1.0" encoding="utf-8"?>
<formControlPr xmlns="http://schemas.microsoft.com/office/spreadsheetml/2009/9/main" objectType="CheckBox" fmlaLink="$G$20" noThreeD="1"/>
</file>

<file path=xl/ctrlProps/ctrlProp29.xml><?xml version="1.0" encoding="utf-8"?>
<formControlPr xmlns="http://schemas.microsoft.com/office/spreadsheetml/2009/9/main" objectType="CheckBox" fmlaLink="$G$21" noThreeD="1"/>
</file>

<file path=xl/ctrlProps/ctrlProp30.xml><?xml version="1.0" encoding="utf-8"?>
<formControlPr xmlns="http://schemas.microsoft.com/office/spreadsheetml/2009/9/main" objectType="CheckBox" fmlaLink="$E$21" noThreeD="1"/>
</file>

<file path=xl/ctrlProps/ctrlProp31.xml><?xml version="1.0" encoding="utf-8"?>
<formControlPr xmlns="http://schemas.microsoft.com/office/spreadsheetml/2009/9/main" objectType="CheckBox" fmlaLink="$I$18" noThreeD="1"/>
</file>

<file path=xl/ctrlProps/ctrlProp32.xml><?xml version="1.0" encoding="utf-8"?>
<formControlPr xmlns="http://schemas.microsoft.com/office/spreadsheetml/2009/9/main" objectType="CheckBox" fmlaLink="$G$8"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fmlaLink="$G$18" noThreeD="1"/>
</file>

<file path=xl/ctrlProps/ctrlProp35.xml><?xml version="1.0" encoding="utf-8"?>
<formControlPr xmlns="http://schemas.microsoft.com/office/spreadsheetml/2009/9/main" objectType="CheckBox" fmlaLink="$C$8" noThreeD="1"/>
</file>

<file path=xl/ctrlProps/ctrlProp36.xml><?xml version="1.0" encoding="utf-8"?>
<formControlPr xmlns="http://schemas.microsoft.com/office/spreadsheetml/2009/9/main" objectType="CheckBox" fmlaLink="$E$11" noThreeD="1"/>
</file>

<file path=xl/ctrlProps/ctrlProp37.xml><?xml version="1.0" encoding="utf-8"?>
<formControlPr xmlns="http://schemas.microsoft.com/office/spreadsheetml/2009/9/main" objectType="CheckBox" checked="Checked" fmlaLink="$I$8" noThreeD="1"/>
</file>

<file path=xl/ctrlProps/ctrlProp38.xml><?xml version="1.0" encoding="utf-8"?>
<formControlPr xmlns="http://schemas.microsoft.com/office/spreadsheetml/2009/9/main" objectType="CheckBox" fmlaLink="$K$8" noThreeD="1"/>
</file>

<file path=xl/ctrlProps/ctrlProp39.xml><?xml version="1.0" encoding="utf-8"?>
<formControlPr xmlns="http://schemas.microsoft.com/office/spreadsheetml/2009/9/main" objectType="CheckBox" fmlaLink="$C$9" noThreeD="1"/>
</file>

<file path=xl/ctrlProps/ctrlProp40.xml><?xml version="1.0" encoding="utf-8"?>
<formControlPr xmlns="http://schemas.microsoft.com/office/spreadsheetml/2009/9/main" objectType="CheckBox" fmlaLink="$C$10" noThreeD="1"/>
</file>

<file path=xl/ctrlProps/ctrlProp41.xml><?xml version="1.0" encoding="utf-8"?>
<formControlPr xmlns="http://schemas.microsoft.com/office/spreadsheetml/2009/9/main" objectType="CheckBox" fmlaLink="$E$12" noThreeD="1"/>
</file>

<file path=xl/ctrlProps/ctrlProp42.xml><?xml version="1.0" encoding="utf-8"?>
<formControlPr xmlns="http://schemas.microsoft.com/office/spreadsheetml/2009/9/main" objectType="CheckBox" fmlaLink="$E$13" noThreeD="1"/>
</file>

<file path=xl/ctrlProps/ctrlProp43.xml><?xml version="1.0" encoding="utf-8"?>
<formControlPr xmlns="http://schemas.microsoft.com/office/spreadsheetml/2009/9/main" objectType="CheckBox" fmlaLink="$E$14" noThreeD="1"/>
</file>

<file path=xl/ctrlProps/ctrlProp44.xml><?xml version="1.0" encoding="utf-8"?>
<formControlPr xmlns="http://schemas.microsoft.com/office/spreadsheetml/2009/9/main" objectType="CheckBox" checked="Checked" fmlaLink="$G$11" noThreeD="1"/>
</file>

<file path=xl/ctrlProps/ctrlProp45.xml><?xml version="1.0" encoding="utf-8"?>
<formControlPr xmlns="http://schemas.microsoft.com/office/spreadsheetml/2009/9/main" objectType="CheckBox" checked="Checked" fmlaLink="$I$11" noThreeD="1"/>
</file>

<file path=xl/ctrlProps/ctrlProp46.xml><?xml version="1.0" encoding="utf-8"?>
<formControlPr xmlns="http://schemas.microsoft.com/office/spreadsheetml/2009/9/main" objectType="CheckBox" fmlaLink="$I$14" noThreeD="1"/>
</file>

<file path=xl/ctrlProps/ctrlProp47.xml><?xml version="1.0" encoding="utf-8"?>
<formControlPr xmlns="http://schemas.microsoft.com/office/spreadsheetml/2009/9/main" objectType="CheckBox" fmlaLink="$K$11" noThreeD="1"/>
</file>

<file path=xl/ctrlProps/ctrlProp48.xml><?xml version="1.0" encoding="utf-8"?>
<formControlPr xmlns="http://schemas.microsoft.com/office/spreadsheetml/2009/9/main" objectType="CheckBox" fmlaLink="$M$11" noThreeD="1"/>
</file>

<file path=xl/ctrlProps/ctrlProp49.xml><?xml version="1.0" encoding="utf-8"?>
<formControlPr xmlns="http://schemas.microsoft.com/office/spreadsheetml/2009/9/main" objectType="CheckBox" fmlaLink="$C$15" noThreeD="1"/>
</file>

<file path=xl/ctrlProps/ctrlProp50.xml><?xml version="1.0" encoding="utf-8"?>
<formControlPr xmlns="http://schemas.microsoft.com/office/spreadsheetml/2009/9/main" objectType="CheckBox" checked="Checked" fmlaLink="$G$15" noThreeD="1"/>
</file>

<file path=xl/ctrlProps/ctrlProp51.xml><?xml version="1.0" encoding="utf-8"?>
<formControlPr xmlns="http://schemas.microsoft.com/office/spreadsheetml/2009/9/main" objectType="CheckBox" fmlaLink="$I$15" noThreeD="1"/>
</file>

<file path=xl/ctrlProps/ctrlProp52.xml><?xml version="1.0" encoding="utf-8"?>
<formControlPr xmlns="http://schemas.microsoft.com/office/spreadsheetml/2009/9/main" objectType="CheckBox" fmlaLink="$K$15" noThreeD="1"/>
</file>

<file path=xl/ctrlProps/ctrlProp53.xml><?xml version="1.0" encoding="utf-8"?>
<formControlPr xmlns="http://schemas.microsoft.com/office/spreadsheetml/2009/9/main" objectType="CheckBox" fmlaLink="$K$16" noThreeD="1"/>
</file>

<file path=xl/ctrlProps/ctrlProp54.xml><?xml version="1.0" encoding="utf-8"?>
<formControlPr xmlns="http://schemas.microsoft.com/office/spreadsheetml/2009/9/main" objectType="CheckBox" fmlaLink="$I$16" noThreeD="1"/>
</file>

<file path=xl/ctrlProps/ctrlProp55.xml><?xml version="1.0" encoding="utf-8"?>
<formControlPr xmlns="http://schemas.microsoft.com/office/spreadsheetml/2009/9/main" objectType="CheckBox" fmlaLink="$G$16" noThreeD="1"/>
</file>

<file path=xl/ctrlProps/ctrlProp56.xml><?xml version="1.0" encoding="utf-8"?>
<formControlPr xmlns="http://schemas.microsoft.com/office/spreadsheetml/2009/9/main" objectType="CheckBox" fmlaLink="$I$17" noThreeD="1"/>
</file>

<file path=xl/ctrlProps/ctrlProp57.xml><?xml version="1.0" encoding="utf-8"?>
<formControlPr xmlns="http://schemas.microsoft.com/office/spreadsheetml/2009/9/main" objectType="CheckBox" fmlaLink="$K$17" noThreeD="1"/>
</file>

<file path=xl/ctrlProps/ctrlProp58.xml><?xml version="1.0" encoding="utf-8"?>
<formControlPr xmlns="http://schemas.microsoft.com/office/spreadsheetml/2009/9/main" objectType="CheckBox" fmlaLink="$C$16" noThreeD="1"/>
</file>

<file path=xl/ctrlProps/ctrlProp59.xml><?xml version="1.0" encoding="utf-8"?>
<formControlPr xmlns="http://schemas.microsoft.com/office/spreadsheetml/2009/9/main" objectType="CheckBox" fmlaLink="$E$18" noThreeD="1"/>
</file>

<file path=xl/ctrlProps/ctrlProp60.xml><?xml version="1.0" encoding="utf-8"?>
<formControlPr xmlns="http://schemas.microsoft.com/office/spreadsheetml/2009/9/main" objectType="CheckBox" fmlaLink="$E$19" noThreeD="1"/>
</file>

<file path=xl/ctrlProps/ctrlProp61.xml><?xml version="1.0" encoding="utf-8"?>
<formControlPr xmlns="http://schemas.microsoft.com/office/spreadsheetml/2009/9/main" objectType="CheckBox" fmlaLink="$E$20" noThreeD="1"/>
</file>

<file path=xl/ctrlProps/ctrlProp62.xml><?xml version="1.0" encoding="utf-8"?>
<formControlPr xmlns="http://schemas.microsoft.com/office/spreadsheetml/2009/9/main" objectType="CheckBox" checked="Checked" fmlaLink="$G$20" noThreeD="1"/>
</file>

<file path=xl/ctrlProps/ctrlProp63.xml><?xml version="1.0" encoding="utf-8"?>
<formControlPr xmlns="http://schemas.microsoft.com/office/spreadsheetml/2009/9/main" objectType="CheckBox" fmlaLink="$G$21" noThreeD="1"/>
</file>

<file path=xl/ctrlProps/ctrlProp64.xml><?xml version="1.0" encoding="utf-8"?>
<formControlPr xmlns="http://schemas.microsoft.com/office/spreadsheetml/2009/9/main" objectType="CheckBox" fmlaLink="$E$21" noThreeD="1"/>
</file>

<file path=xl/ctrlProps/ctrlProp65.xml><?xml version="1.0" encoding="utf-8"?>
<formControlPr xmlns="http://schemas.microsoft.com/office/spreadsheetml/2009/9/main" objectType="CheckBox" fmlaLink="$I$18" noThreeD="1"/>
</file>

<file path=xl/ctrlProps/ctrlProp66.xml><?xml version="1.0" encoding="utf-8"?>
<formControlPr xmlns="http://schemas.microsoft.com/office/spreadsheetml/2009/9/main" objectType="CheckBox" fmlaLink="$G$8" noThreeD="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CheckBox" fmlaLink="$G$18" noThreeD="1"/>
</file>

<file path=xl/ctrlProps/ctrlProp69.xml><?xml version="1.0" encoding="utf-8"?>
<formControlPr xmlns="http://schemas.microsoft.com/office/spreadsheetml/2009/9/main" objectType="CheckBox" fmlaLink="$C$8" noThreeD="1"/>
</file>

<file path=xl/ctrlProps/ctrlProp70.xml><?xml version="1.0" encoding="utf-8"?>
<formControlPr xmlns="http://schemas.microsoft.com/office/spreadsheetml/2009/9/main" objectType="CheckBox" fmlaLink="$E$11" noThreeD="1"/>
</file>

<file path=xl/ctrlProps/ctrlProp71.xml><?xml version="1.0" encoding="utf-8"?>
<formControlPr xmlns="http://schemas.microsoft.com/office/spreadsheetml/2009/9/main" objectType="CheckBox" fmlaLink="$I$8" noThreeD="1"/>
</file>

<file path=xl/ctrlProps/ctrlProp72.xml><?xml version="1.0" encoding="utf-8"?>
<formControlPr xmlns="http://schemas.microsoft.com/office/spreadsheetml/2009/9/main" objectType="CheckBox" fmlaLink="$K$8" noThreeD="1"/>
</file>

<file path=xl/ctrlProps/ctrlProp73.xml><?xml version="1.0" encoding="utf-8"?>
<formControlPr xmlns="http://schemas.microsoft.com/office/spreadsheetml/2009/9/main" objectType="CheckBox" fmlaLink="$C$9" noThreeD="1"/>
</file>

<file path=xl/ctrlProps/ctrlProp74.xml><?xml version="1.0" encoding="utf-8"?>
<formControlPr xmlns="http://schemas.microsoft.com/office/spreadsheetml/2009/9/main" objectType="CheckBox" fmlaLink="$C$10" noThreeD="1"/>
</file>

<file path=xl/ctrlProps/ctrlProp75.xml><?xml version="1.0" encoding="utf-8"?>
<formControlPr xmlns="http://schemas.microsoft.com/office/spreadsheetml/2009/9/main" objectType="CheckBox" fmlaLink="$E$12" noThreeD="1"/>
</file>

<file path=xl/ctrlProps/ctrlProp76.xml><?xml version="1.0" encoding="utf-8"?>
<formControlPr xmlns="http://schemas.microsoft.com/office/spreadsheetml/2009/9/main" objectType="CheckBox" fmlaLink="$E$13" noThreeD="1"/>
</file>

<file path=xl/ctrlProps/ctrlProp77.xml><?xml version="1.0" encoding="utf-8"?>
<formControlPr xmlns="http://schemas.microsoft.com/office/spreadsheetml/2009/9/main" objectType="CheckBox" fmlaLink="$E$14" noThreeD="1"/>
</file>

<file path=xl/ctrlProps/ctrlProp78.xml><?xml version="1.0" encoding="utf-8"?>
<formControlPr xmlns="http://schemas.microsoft.com/office/spreadsheetml/2009/9/main" objectType="CheckBox" fmlaLink="$G$11" noThreeD="1"/>
</file>

<file path=xl/ctrlProps/ctrlProp79.xml><?xml version="1.0" encoding="utf-8"?>
<formControlPr xmlns="http://schemas.microsoft.com/office/spreadsheetml/2009/9/main" objectType="CheckBox" fmlaLink="$I$11" noThreeD="1"/>
</file>

<file path=xl/ctrlProps/ctrlProp80.xml><?xml version="1.0" encoding="utf-8"?>
<formControlPr xmlns="http://schemas.microsoft.com/office/spreadsheetml/2009/9/main" objectType="CheckBox" fmlaLink="$I$14" noThreeD="1"/>
</file>

<file path=xl/ctrlProps/ctrlProp81.xml><?xml version="1.0" encoding="utf-8"?>
<formControlPr xmlns="http://schemas.microsoft.com/office/spreadsheetml/2009/9/main" objectType="CheckBox" fmlaLink="$K$11" noThreeD="1"/>
</file>

<file path=xl/ctrlProps/ctrlProp82.xml><?xml version="1.0" encoding="utf-8"?>
<formControlPr xmlns="http://schemas.microsoft.com/office/spreadsheetml/2009/9/main" objectType="CheckBox" fmlaLink="$M$11" noThreeD="1"/>
</file>

<file path=xl/ctrlProps/ctrlProp83.xml><?xml version="1.0" encoding="utf-8"?>
<formControlPr xmlns="http://schemas.microsoft.com/office/spreadsheetml/2009/9/main" objectType="CheckBox" fmlaLink="$C$15" noThreeD="1"/>
</file>

<file path=xl/ctrlProps/ctrlProp84.xml><?xml version="1.0" encoding="utf-8"?>
<formControlPr xmlns="http://schemas.microsoft.com/office/spreadsheetml/2009/9/main" objectType="CheckBox" fmlaLink="$G$15" noThreeD="1"/>
</file>

<file path=xl/ctrlProps/ctrlProp85.xml><?xml version="1.0" encoding="utf-8"?>
<formControlPr xmlns="http://schemas.microsoft.com/office/spreadsheetml/2009/9/main" objectType="CheckBox" fmlaLink="$I$15" noThreeD="1"/>
</file>

<file path=xl/ctrlProps/ctrlProp86.xml><?xml version="1.0" encoding="utf-8"?>
<formControlPr xmlns="http://schemas.microsoft.com/office/spreadsheetml/2009/9/main" objectType="CheckBox" fmlaLink="$K$15" noThreeD="1"/>
</file>

<file path=xl/ctrlProps/ctrlProp87.xml><?xml version="1.0" encoding="utf-8"?>
<formControlPr xmlns="http://schemas.microsoft.com/office/spreadsheetml/2009/9/main" objectType="CheckBox" fmlaLink="$K$16" noThreeD="1"/>
</file>

<file path=xl/ctrlProps/ctrlProp88.xml><?xml version="1.0" encoding="utf-8"?>
<formControlPr xmlns="http://schemas.microsoft.com/office/spreadsheetml/2009/9/main" objectType="CheckBox" fmlaLink="$I$16" noThreeD="1"/>
</file>

<file path=xl/ctrlProps/ctrlProp89.xml><?xml version="1.0" encoding="utf-8"?>
<formControlPr xmlns="http://schemas.microsoft.com/office/spreadsheetml/2009/9/main" objectType="CheckBox" fmlaLink="$G$16" noThreeD="1"/>
</file>

<file path=xl/ctrlProps/ctrlProp90.xml><?xml version="1.0" encoding="utf-8"?>
<formControlPr xmlns="http://schemas.microsoft.com/office/spreadsheetml/2009/9/main" objectType="CheckBox" fmlaLink="$I$17" noThreeD="1"/>
</file>

<file path=xl/ctrlProps/ctrlProp91.xml><?xml version="1.0" encoding="utf-8"?>
<formControlPr xmlns="http://schemas.microsoft.com/office/spreadsheetml/2009/9/main" objectType="CheckBox" fmlaLink="$K$17" noThreeD="1"/>
</file>

<file path=xl/ctrlProps/ctrlProp92.xml><?xml version="1.0" encoding="utf-8"?>
<formControlPr xmlns="http://schemas.microsoft.com/office/spreadsheetml/2009/9/main" objectType="CheckBox" fmlaLink="$C$16" noThreeD="1"/>
</file>

<file path=xl/ctrlProps/ctrlProp93.xml><?xml version="1.0" encoding="utf-8"?>
<formControlPr xmlns="http://schemas.microsoft.com/office/spreadsheetml/2009/9/main" objectType="CheckBox" fmlaLink="$E$18" noThreeD="1"/>
</file>

<file path=xl/ctrlProps/ctrlProp94.xml><?xml version="1.0" encoding="utf-8"?>
<formControlPr xmlns="http://schemas.microsoft.com/office/spreadsheetml/2009/9/main" objectType="CheckBox" fmlaLink="$E$19" noThreeD="1"/>
</file>

<file path=xl/ctrlProps/ctrlProp95.xml><?xml version="1.0" encoding="utf-8"?>
<formControlPr xmlns="http://schemas.microsoft.com/office/spreadsheetml/2009/9/main" objectType="CheckBox" fmlaLink="$E$20" noThreeD="1"/>
</file>

<file path=xl/ctrlProps/ctrlProp96.xml><?xml version="1.0" encoding="utf-8"?>
<formControlPr xmlns="http://schemas.microsoft.com/office/spreadsheetml/2009/9/main" objectType="CheckBox" fmlaLink="$G$20" noThreeD="1"/>
</file>

<file path=xl/ctrlProps/ctrlProp97.xml><?xml version="1.0" encoding="utf-8"?>
<formControlPr xmlns="http://schemas.microsoft.com/office/spreadsheetml/2009/9/main" objectType="CheckBox" fmlaLink="$G$21" noThreeD="1"/>
</file>

<file path=xl/ctrlProps/ctrlProp98.xml><?xml version="1.0" encoding="utf-8"?>
<formControlPr xmlns="http://schemas.microsoft.com/office/spreadsheetml/2009/9/main" objectType="CheckBox" fmlaLink="$E$21" noThreeD="1"/>
</file>

<file path=xl/ctrlProps/ctrlProp99.xml><?xml version="1.0" encoding="utf-8"?>
<formControlPr xmlns="http://schemas.microsoft.com/office/spreadsheetml/2009/9/main" objectType="CheckBox" fmlaLink="$I$18" noThreeD="1"/>
</file>

<file path=xl/ctrlProps/ctrlProp100.xml><?xml version="1.0" encoding="utf-8"?>
<formControlPr xmlns="http://schemas.microsoft.com/office/spreadsheetml/2009/9/main" objectType="CheckBox" fmlaLink="$G$8" noThreeD="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CheckBox" fmlaLink="$G$18" noThreeD="1"/>
</file>

<file path=xl/ctrlProps/ctrlProp103.xml><?xml version="1.0" encoding="utf-8"?>
<formControlPr xmlns="http://schemas.microsoft.com/office/spreadsheetml/2009/9/main" objectType="CheckBox" fmlaLink="$I$7" noThreeD="1"/>
</file>

<file path=xl/ctrlProps/ctrlProp104.xml><?xml version="1.0" encoding="utf-8"?>
<formControlPr xmlns="http://schemas.microsoft.com/office/spreadsheetml/2009/9/main" objectType="CheckBox" fmlaLink="$I$8" lockText="1" noThreeD="1"/>
</file>

<file path=xl/ctrlProps/ctrlProp105.xml><?xml version="1.0" encoding="utf-8"?>
<formControlPr xmlns="http://schemas.microsoft.com/office/spreadsheetml/2009/9/main" objectType="CheckBox" fmlaLink="$I$9" lockText="1" noThreeD="1"/>
</file>

<file path=xl/ctrlProps/ctrlProp106.xml><?xml version="1.0" encoding="utf-8"?>
<formControlPr xmlns="http://schemas.microsoft.com/office/spreadsheetml/2009/9/main" objectType="CheckBox" fmlaLink="$I$10" lockText="1" noThreeD="1"/>
</file>

<file path=xl/ctrlProps/ctrlProp107.xml><?xml version="1.0" encoding="utf-8"?>
<formControlPr xmlns="http://schemas.microsoft.com/office/spreadsheetml/2009/9/main" objectType="CheckBox" fmlaLink="$I$11" lockText="1" noThreeD="1"/>
</file>

<file path=xl/ctrlProps/ctrlProp108.xml><?xml version="1.0" encoding="utf-8"?>
<formControlPr xmlns="http://schemas.microsoft.com/office/spreadsheetml/2009/9/main" objectType="CheckBox" fmlaLink="$I$12" lockText="1" noThreeD="1"/>
</file>

<file path=xl/ctrlProps/ctrlProp109.xml><?xml version="1.0" encoding="utf-8"?>
<formControlPr xmlns="http://schemas.microsoft.com/office/spreadsheetml/2009/9/main" objectType="CheckBox" fmlaLink="$I$13" lockText="1" noThreeD="1"/>
</file>

<file path=xl/ctrlProps/ctrlProp110.xml><?xml version="1.0" encoding="utf-8"?>
<formControlPr xmlns="http://schemas.microsoft.com/office/spreadsheetml/2009/9/main" objectType="CheckBox" fmlaLink="$I$14" lockText="1" noThreeD="1"/>
</file>

<file path=xl/ctrlProps/ctrlProp111.xml><?xml version="1.0" encoding="utf-8"?>
<formControlPr xmlns="http://schemas.microsoft.com/office/spreadsheetml/2009/9/main" objectType="CheckBox" fmlaLink="$I$15" lockText="1" noThreeD="1"/>
</file>

<file path=xl/ctrlProps/ctrlProp112.xml><?xml version="1.0" encoding="utf-8"?>
<formControlPr xmlns="http://schemas.microsoft.com/office/spreadsheetml/2009/9/main" objectType="CheckBox" fmlaLink="$I$16" lockText="1" noThreeD="1"/>
</file>

<file path=xl/ctrlProps/ctrlProp113.xml><?xml version="1.0" encoding="utf-8"?>
<formControlPr xmlns="http://schemas.microsoft.com/office/spreadsheetml/2009/9/main" objectType="CheckBox" fmlaLink="$I$17" lockText="1" noThreeD="1"/>
</file>

<file path=xl/ctrlProps/ctrlProp114.xml><?xml version="1.0" encoding="utf-8"?>
<formControlPr xmlns="http://schemas.microsoft.com/office/spreadsheetml/2009/9/main" objectType="CheckBox" fmlaLink="$I$18" lockText="1" noThreeD="1"/>
</file>

<file path=xl/ctrlProps/ctrlProp115.xml><?xml version="1.0" encoding="utf-8"?>
<formControlPr xmlns="http://schemas.microsoft.com/office/spreadsheetml/2009/9/main" objectType="CheckBox" fmlaLink="$I$19" lockText="1" noThreeD="1"/>
</file>

<file path=xl/ctrlProps/ctrlProp116.xml><?xml version="1.0" encoding="utf-8"?>
<formControlPr xmlns="http://schemas.microsoft.com/office/spreadsheetml/2009/9/main" objectType="CheckBox" fmlaLink="$I$20" lockText="1" noThreeD="1"/>
</file>

<file path=xl/ctrlProps/ctrlProp117.xml><?xml version="1.0" encoding="utf-8"?>
<formControlPr xmlns="http://schemas.microsoft.com/office/spreadsheetml/2009/9/main" objectType="CheckBox" fmlaLink="$I$21" lockText="1" noThreeD="1"/>
</file>

<file path=xl/ctrlProps/ctrlProp118.xml><?xml version="1.0" encoding="utf-8"?>
<formControlPr xmlns="http://schemas.microsoft.com/office/spreadsheetml/2009/9/main" objectType="CheckBox" fmlaLink="$I$22" lockText="1" noThreeD="1"/>
</file>

<file path=xl/ctrlProps/ctrlProp119.xml><?xml version="1.0" encoding="utf-8"?>
<formControlPr xmlns="http://schemas.microsoft.com/office/spreadsheetml/2009/9/main" objectType="CheckBox" fmlaLink="$I$23" lockText="1" noThreeD="1"/>
</file>

<file path=xl/ctrlProps/ctrlProp120.xml><?xml version="1.0" encoding="utf-8"?>
<formControlPr xmlns="http://schemas.microsoft.com/office/spreadsheetml/2009/9/main" objectType="CheckBox" fmlaLink="$I$24" lockText="1" noThreeD="1"/>
</file>

<file path=xl/ctrlProps/ctrlProp121.xml><?xml version="1.0" encoding="utf-8"?>
<formControlPr xmlns="http://schemas.microsoft.com/office/spreadsheetml/2009/9/main" objectType="CheckBox" fmlaLink="$I$25" lockText="1" noThreeD="1"/>
</file>

<file path=xl/ctrlProps/ctrlProp122.xml><?xml version="1.0" encoding="utf-8"?>
<formControlPr xmlns="http://schemas.microsoft.com/office/spreadsheetml/2009/9/main" objectType="CheckBox" fmlaLink="$I$26" lockText="1" noThreeD="1"/>
</file>

<file path=xl/ctrlProps/ctrlProp123.xml><?xml version="1.0" encoding="utf-8"?>
<formControlPr xmlns="http://schemas.microsoft.com/office/spreadsheetml/2009/9/main" objectType="CheckBox" fmlaLink="$I$27" lockText="1" noThreeD="1"/>
</file>

<file path=xl/ctrlProps/ctrlProp124.xml><?xml version="1.0" encoding="utf-8"?>
<formControlPr xmlns="http://schemas.microsoft.com/office/spreadsheetml/2009/9/main" objectType="CheckBox" fmlaLink="$I$28" lockText="1" noThreeD="1"/>
</file>

<file path=xl/ctrlProps/ctrlProp125.xml><?xml version="1.0" encoding="utf-8"?>
<formControlPr xmlns="http://schemas.microsoft.com/office/spreadsheetml/2009/9/main" objectType="CheckBox" fmlaLink="$I$29" lockText="1" noThreeD="1"/>
</file>

<file path=xl/ctrlProps/ctrlProp126.xml><?xml version="1.0" encoding="utf-8"?>
<formControlPr xmlns="http://schemas.microsoft.com/office/spreadsheetml/2009/9/main" objectType="CheckBox" fmlaLink="$I$30" lockText="1" noThreeD="1"/>
</file>

<file path=xl/ctrlProps/ctrlProp127.xml><?xml version="1.0" encoding="utf-8"?>
<formControlPr xmlns="http://schemas.microsoft.com/office/spreadsheetml/2009/9/main" objectType="CheckBox" fmlaLink="$I$31" lockText="1" noThreeD="1"/>
</file>

<file path=xl/ctrlProps/ctrlProp128.xml><?xml version="1.0" encoding="utf-8"?>
<formControlPr xmlns="http://schemas.microsoft.com/office/spreadsheetml/2009/9/main" objectType="CheckBox" fmlaLink="$I$32" lockText="1" noThreeD="1"/>
</file>

<file path=xl/ctrlProps/ctrlProp129.xml><?xml version="1.0" encoding="utf-8"?>
<formControlPr xmlns="http://schemas.microsoft.com/office/spreadsheetml/2009/9/main" objectType="CheckBox" fmlaLink="$I$33" lockText="1" noThreeD="1"/>
</file>

<file path=xl/ctrlProps/ctrlProp130.xml><?xml version="1.0" encoding="utf-8"?>
<formControlPr xmlns="http://schemas.microsoft.com/office/spreadsheetml/2009/9/main" objectType="CheckBox" fmlaLink="$I$34" lockText="1" noThreeD="1"/>
</file>

<file path=xl/ctrlProps/ctrlProp13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xdr:colOff>
          <xdr:row>7</xdr:row>
          <xdr:rowOff>57150</xdr:rowOff>
        </xdr:from>
        <xdr:to>
          <xdr:col>3</xdr:col>
          <xdr:colOff>106680</xdr:colOff>
          <xdr:row>7</xdr:row>
          <xdr:rowOff>297180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10</xdr:row>
          <xdr:rowOff>95250</xdr:rowOff>
        </xdr:from>
        <xdr:to>
          <xdr:col>5</xdr:col>
          <xdr:colOff>95250</xdr:colOff>
          <xdr:row>10</xdr:row>
          <xdr:rowOff>323850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xdr:colOff>
          <xdr:row>7</xdr:row>
          <xdr:rowOff>0</xdr:rowOff>
        </xdr:from>
        <xdr:to>
          <xdr:col>9</xdr:col>
          <xdr:colOff>95250</xdr:colOff>
          <xdr:row>7</xdr:row>
          <xdr:rowOff>297180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7</xdr:row>
          <xdr:rowOff>19050</xdr:rowOff>
        </xdr:from>
        <xdr:to>
          <xdr:col>11</xdr:col>
          <xdr:colOff>106680</xdr:colOff>
          <xdr:row>7</xdr:row>
          <xdr:rowOff>285750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8</xdr:row>
          <xdr:rowOff>76200</xdr:rowOff>
        </xdr:from>
        <xdr:to>
          <xdr:col>3</xdr:col>
          <xdr:colOff>125730</xdr:colOff>
          <xdr:row>8</xdr:row>
          <xdr:rowOff>316230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xdr:colOff>
          <xdr:row>9</xdr:row>
          <xdr:rowOff>163830</xdr:rowOff>
        </xdr:from>
        <xdr:to>
          <xdr:col>3</xdr:col>
          <xdr:colOff>106680</xdr:colOff>
          <xdr:row>9</xdr:row>
          <xdr:rowOff>392430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11</xdr:row>
          <xdr:rowOff>76200</xdr:rowOff>
        </xdr:from>
        <xdr:to>
          <xdr:col>5</xdr:col>
          <xdr:colOff>95250</xdr:colOff>
          <xdr:row>11</xdr:row>
          <xdr:rowOff>316230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12</xdr:row>
          <xdr:rowOff>68580</xdr:rowOff>
        </xdr:from>
        <xdr:to>
          <xdr:col>5</xdr:col>
          <xdr:colOff>95250</xdr:colOff>
          <xdr:row>12</xdr:row>
          <xdr:rowOff>297180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13</xdr:row>
          <xdr:rowOff>76200</xdr:rowOff>
        </xdr:from>
        <xdr:to>
          <xdr:col>5</xdr:col>
          <xdr:colOff>95250</xdr:colOff>
          <xdr:row>13</xdr:row>
          <xdr:rowOff>316230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10</xdr:row>
          <xdr:rowOff>95250</xdr:rowOff>
        </xdr:from>
        <xdr:to>
          <xdr:col>7</xdr:col>
          <xdr:colOff>95250</xdr:colOff>
          <xdr:row>10</xdr:row>
          <xdr:rowOff>323850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xdr:colOff>
          <xdr:row>10</xdr:row>
          <xdr:rowOff>95250</xdr:rowOff>
        </xdr:from>
        <xdr:to>
          <xdr:col>9</xdr:col>
          <xdr:colOff>95250</xdr:colOff>
          <xdr:row>10</xdr:row>
          <xdr:rowOff>323850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xdr:colOff>
          <xdr:row>13</xdr:row>
          <xdr:rowOff>87630</xdr:rowOff>
        </xdr:from>
        <xdr:to>
          <xdr:col>9</xdr:col>
          <xdr:colOff>95250</xdr:colOff>
          <xdr:row>13</xdr:row>
          <xdr:rowOff>323850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11430</xdr:colOff>
          <xdr:row>10</xdr:row>
          <xdr:rowOff>95250</xdr:rowOff>
        </xdr:from>
        <xdr:to>
          <xdr:col>11</xdr:col>
          <xdr:colOff>95250</xdr:colOff>
          <xdr:row>10</xdr:row>
          <xdr:rowOff>323850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10</xdr:row>
          <xdr:rowOff>95250</xdr:rowOff>
        </xdr:from>
        <xdr:to>
          <xdr:col>13</xdr:col>
          <xdr:colOff>106680</xdr:colOff>
          <xdr:row>10</xdr:row>
          <xdr:rowOff>323850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xdr:colOff>
          <xdr:row>14</xdr:row>
          <xdr:rowOff>38100</xdr:rowOff>
        </xdr:from>
        <xdr:to>
          <xdr:col>3</xdr:col>
          <xdr:colOff>95250</xdr:colOff>
          <xdr:row>14</xdr:row>
          <xdr:rowOff>285750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14</xdr:row>
          <xdr:rowOff>49530</xdr:rowOff>
        </xdr:from>
        <xdr:to>
          <xdr:col>7</xdr:col>
          <xdr:colOff>95250</xdr:colOff>
          <xdr:row>14</xdr:row>
          <xdr:rowOff>323850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xdr:colOff>
          <xdr:row>14</xdr:row>
          <xdr:rowOff>30480</xdr:rowOff>
        </xdr:from>
        <xdr:to>
          <xdr:col>9</xdr:col>
          <xdr:colOff>95250</xdr:colOff>
          <xdr:row>14</xdr:row>
          <xdr:rowOff>323850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11430</xdr:colOff>
          <xdr:row>14</xdr:row>
          <xdr:rowOff>38100</xdr:rowOff>
        </xdr:from>
        <xdr:to>
          <xdr:col>11</xdr:col>
          <xdr:colOff>95250</xdr:colOff>
          <xdr:row>14</xdr:row>
          <xdr:rowOff>323850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11430</xdr:colOff>
          <xdr:row>15</xdr:row>
          <xdr:rowOff>76200</xdr:rowOff>
        </xdr:from>
        <xdr:to>
          <xdr:col>11</xdr:col>
          <xdr:colOff>95250</xdr:colOff>
          <xdr:row>15</xdr:row>
          <xdr:rowOff>304800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xdr:colOff>
          <xdr:row>15</xdr:row>
          <xdr:rowOff>76200</xdr:rowOff>
        </xdr:from>
        <xdr:to>
          <xdr:col>9</xdr:col>
          <xdr:colOff>95250</xdr:colOff>
          <xdr:row>15</xdr:row>
          <xdr:rowOff>304800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15</xdr:row>
          <xdr:rowOff>76200</xdr:rowOff>
        </xdr:from>
        <xdr:to>
          <xdr:col>7</xdr:col>
          <xdr:colOff>95250</xdr:colOff>
          <xdr:row>15</xdr:row>
          <xdr:rowOff>304800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106680</xdr:rowOff>
        </xdr:from>
        <xdr:to>
          <xdr:col>9</xdr:col>
          <xdr:colOff>87630</xdr:colOff>
          <xdr:row>16</xdr:row>
          <xdr:rowOff>335280</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11430</xdr:colOff>
          <xdr:row>16</xdr:row>
          <xdr:rowOff>114300</xdr:rowOff>
        </xdr:from>
        <xdr:to>
          <xdr:col>11</xdr:col>
          <xdr:colOff>95250</xdr:colOff>
          <xdr:row>16</xdr:row>
          <xdr:rowOff>342900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xdr:colOff>
          <xdr:row>15</xdr:row>
          <xdr:rowOff>152400</xdr:rowOff>
        </xdr:from>
        <xdr:to>
          <xdr:col>3</xdr:col>
          <xdr:colOff>95250</xdr:colOff>
          <xdr:row>15</xdr:row>
          <xdr:rowOff>381000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17</xdr:row>
          <xdr:rowOff>106680</xdr:rowOff>
        </xdr:from>
        <xdr:to>
          <xdr:col>5</xdr:col>
          <xdr:colOff>95250</xdr:colOff>
          <xdr:row>17</xdr:row>
          <xdr:rowOff>335280</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18</xdr:row>
          <xdr:rowOff>76200</xdr:rowOff>
        </xdr:from>
        <xdr:to>
          <xdr:col>5</xdr:col>
          <xdr:colOff>95250</xdr:colOff>
          <xdr:row>18</xdr:row>
          <xdr:rowOff>304800</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19</xdr:row>
          <xdr:rowOff>68580</xdr:rowOff>
        </xdr:from>
        <xdr:to>
          <xdr:col>5</xdr:col>
          <xdr:colOff>95250</xdr:colOff>
          <xdr:row>19</xdr:row>
          <xdr:rowOff>297180</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19</xdr:row>
          <xdr:rowOff>38100</xdr:rowOff>
        </xdr:from>
        <xdr:to>
          <xdr:col>7</xdr:col>
          <xdr:colOff>95250</xdr:colOff>
          <xdr:row>19</xdr:row>
          <xdr:rowOff>266700</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20</xdr:row>
          <xdr:rowOff>57150</xdr:rowOff>
        </xdr:from>
        <xdr:to>
          <xdr:col>7</xdr:col>
          <xdr:colOff>95250</xdr:colOff>
          <xdr:row>20</xdr:row>
          <xdr:rowOff>285750</xdr:rowOff>
        </xdr:to>
        <xdr:sp macro="" textlink="">
          <xdr:nvSpPr>
            <xdr:cNvPr id="2080" name="Check Box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20</xdr:row>
          <xdr:rowOff>57150</xdr:rowOff>
        </xdr:from>
        <xdr:to>
          <xdr:col>5</xdr:col>
          <xdr:colOff>95250</xdr:colOff>
          <xdr:row>20</xdr:row>
          <xdr:rowOff>285750</xdr:rowOff>
        </xdr:to>
        <xdr:sp macro="" textlink="">
          <xdr:nvSpPr>
            <xdr:cNvPr id="2081" name="Check Box 33"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87630</xdr:rowOff>
        </xdr:from>
        <xdr:to>
          <xdr:col>9</xdr:col>
          <xdr:colOff>87630</xdr:colOff>
          <xdr:row>17</xdr:row>
          <xdr:rowOff>316230</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7</xdr:row>
          <xdr:rowOff>68580</xdr:rowOff>
        </xdr:from>
        <xdr:to>
          <xdr:col>7</xdr:col>
          <xdr:colOff>95250</xdr:colOff>
          <xdr:row>7</xdr:row>
          <xdr:rowOff>297180</xdr:rowOff>
        </xdr:to>
        <xdr:sp macro="" textlink="">
          <xdr:nvSpPr>
            <xdr:cNvPr id="2083" name="Check Box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552450</xdr:colOff>
          <xdr:row>3</xdr:row>
          <xdr:rowOff>0</xdr:rowOff>
        </xdr:from>
        <xdr:to>
          <xdr:col>12</xdr:col>
          <xdr:colOff>0</xdr:colOff>
          <xdr:row>3</xdr:row>
          <xdr:rowOff>278130</xdr:rowOff>
        </xdr:to>
        <xdr:sp macro="" textlink="">
          <xdr:nvSpPr>
            <xdr:cNvPr id="2084" name="Button 36" descr="Uncheck All"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64008" tIns="41148" rIns="64008" bIns="41148" anchor="ctr" upright="1"/>
            <a:lstStyle/>
            <a:p>
              <a:pPr algn="ctr" rtl="0">
                <a:defRPr sz="1000"/>
              </a:pPr>
              <a:r>
                <a:rPr lang="en-US" sz="1000" b="1" i="0" u="none" strike="noStrike" baseline="0">
                  <a:solidFill>
                    <a:srgbClr val="000000"/>
                  </a:solidFill>
                  <a:latin typeface="Verdana"/>
                  <a:ea typeface="Verdana"/>
                </a:rPr>
                <a:t>Uncheck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17</xdr:row>
          <xdr:rowOff>68580</xdr:rowOff>
        </xdr:from>
        <xdr:to>
          <xdr:col>7</xdr:col>
          <xdr:colOff>95250</xdr:colOff>
          <xdr:row>17</xdr:row>
          <xdr:rowOff>297180</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xdr:colOff>
          <xdr:row>7</xdr:row>
          <xdr:rowOff>57150</xdr:rowOff>
        </xdr:from>
        <xdr:to>
          <xdr:col>3</xdr:col>
          <xdr:colOff>106680</xdr:colOff>
          <xdr:row>7</xdr:row>
          <xdr:rowOff>297180</xdr:rowOff>
        </xdr:to>
        <xdr:sp macro="" textlink="">
          <xdr:nvSpPr>
            <xdr:cNvPr id="20481" name="Check Box 1" hidden="1">
              <a:extLst>
                <a:ext uri="{63B3BB69-23CF-44E3-9099-C40C66FF867C}">
                  <a14:compatExt spid="_x0000_s20481"/>
                </a:ext>
                <a:ext uri="{FF2B5EF4-FFF2-40B4-BE49-F238E27FC236}">
                  <a16:creationId xmlns:a16="http://schemas.microsoft.com/office/drawing/2014/main" id="{00000000-0008-0000-02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10</xdr:row>
          <xdr:rowOff>95250</xdr:rowOff>
        </xdr:from>
        <xdr:to>
          <xdr:col>5</xdr:col>
          <xdr:colOff>95250</xdr:colOff>
          <xdr:row>10</xdr:row>
          <xdr:rowOff>323850</xdr:rowOff>
        </xdr:to>
        <xdr:sp macro="" textlink="">
          <xdr:nvSpPr>
            <xdr:cNvPr id="20482" name="Check Box 2" hidden="1">
              <a:extLst>
                <a:ext uri="{63B3BB69-23CF-44E3-9099-C40C66FF867C}">
                  <a14:compatExt spid="_x0000_s20482"/>
                </a:ext>
                <a:ext uri="{FF2B5EF4-FFF2-40B4-BE49-F238E27FC236}">
                  <a16:creationId xmlns:a16="http://schemas.microsoft.com/office/drawing/2014/main" id="{00000000-0008-0000-02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xdr:colOff>
          <xdr:row>7</xdr:row>
          <xdr:rowOff>0</xdr:rowOff>
        </xdr:from>
        <xdr:to>
          <xdr:col>9</xdr:col>
          <xdr:colOff>95250</xdr:colOff>
          <xdr:row>7</xdr:row>
          <xdr:rowOff>297180</xdr:rowOff>
        </xdr:to>
        <xdr:sp macro="" textlink="">
          <xdr:nvSpPr>
            <xdr:cNvPr id="20483" name="Check Box 3" hidden="1">
              <a:extLst>
                <a:ext uri="{63B3BB69-23CF-44E3-9099-C40C66FF867C}">
                  <a14:compatExt spid="_x0000_s20483"/>
                </a:ext>
                <a:ext uri="{FF2B5EF4-FFF2-40B4-BE49-F238E27FC236}">
                  <a16:creationId xmlns:a16="http://schemas.microsoft.com/office/drawing/2014/main" id="{00000000-0008-0000-0200-00000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7</xdr:row>
          <xdr:rowOff>19050</xdr:rowOff>
        </xdr:from>
        <xdr:to>
          <xdr:col>11</xdr:col>
          <xdr:colOff>106680</xdr:colOff>
          <xdr:row>7</xdr:row>
          <xdr:rowOff>285750</xdr:rowOff>
        </xdr:to>
        <xdr:sp macro="" textlink="">
          <xdr:nvSpPr>
            <xdr:cNvPr id="20484" name="Check Box 4" hidden="1">
              <a:extLst>
                <a:ext uri="{63B3BB69-23CF-44E3-9099-C40C66FF867C}">
                  <a14:compatExt spid="_x0000_s20484"/>
                </a:ext>
                <a:ext uri="{FF2B5EF4-FFF2-40B4-BE49-F238E27FC236}">
                  <a16:creationId xmlns:a16="http://schemas.microsoft.com/office/drawing/2014/main" id="{00000000-0008-0000-0200-00000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8</xdr:row>
          <xdr:rowOff>76200</xdr:rowOff>
        </xdr:from>
        <xdr:to>
          <xdr:col>3</xdr:col>
          <xdr:colOff>125730</xdr:colOff>
          <xdr:row>8</xdr:row>
          <xdr:rowOff>316230</xdr:rowOff>
        </xdr:to>
        <xdr:sp macro="" textlink="">
          <xdr:nvSpPr>
            <xdr:cNvPr id="20485" name="Check Box 5" hidden="1">
              <a:extLst>
                <a:ext uri="{63B3BB69-23CF-44E3-9099-C40C66FF867C}">
                  <a14:compatExt spid="_x0000_s20485"/>
                </a:ext>
                <a:ext uri="{FF2B5EF4-FFF2-40B4-BE49-F238E27FC236}">
                  <a16:creationId xmlns:a16="http://schemas.microsoft.com/office/drawing/2014/main" id="{00000000-0008-0000-0200-00000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xdr:colOff>
          <xdr:row>9</xdr:row>
          <xdr:rowOff>163830</xdr:rowOff>
        </xdr:from>
        <xdr:to>
          <xdr:col>3</xdr:col>
          <xdr:colOff>106680</xdr:colOff>
          <xdr:row>9</xdr:row>
          <xdr:rowOff>392430</xdr:rowOff>
        </xdr:to>
        <xdr:sp macro="" textlink="">
          <xdr:nvSpPr>
            <xdr:cNvPr id="20486" name="Check Box 6" hidden="1">
              <a:extLst>
                <a:ext uri="{63B3BB69-23CF-44E3-9099-C40C66FF867C}">
                  <a14:compatExt spid="_x0000_s20486"/>
                </a:ext>
                <a:ext uri="{FF2B5EF4-FFF2-40B4-BE49-F238E27FC236}">
                  <a16:creationId xmlns:a16="http://schemas.microsoft.com/office/drawing/2014/main" id="{00000000-0008-0000-0200-00000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11</xdr:row>
          <xdr:rowOff>76200</xdr:rowOff>
        </xdr:from>
        <xdr:to>
          <xdr:col>5</xdr:col>
          <xdr:colOff>95250</xdr:colOff>
          <xdr:row>11</xdr:row>
          <xdr:rowOff>316230</xdr:rowOff>
        </xdr:to>
        <xdr:sp macro="" textlink="">
          <xdr:nvSpPr>
            <xdr:cNvPr id="20487" name="Check Box 7" hidden="1">
              <a:extLst>
                <a:ext uri="{63B3BB69-23CF-44E3-9099-C40C66FF867C}">
                  <a14:compatExt spid="_x0000_s20487"/>
                </a:ext>
                <a:ext uri="{FF2B5EF4-FFF2-40B4-BE49-F238E27FC236}">
                  <a16:creationId xmlns:a16="http://schemas.microsoft.com/office/drawing/2014/main" id="{00000000-0008-0000-0200-00000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12</xdr:row>
          <xdr:rowOff>68580</xdr:rowOff>
        </xdr:from>
        <xdr:to>
          <xdr:col>5</xdr:col>
          <xdr:colOff>95250</xdr:colOff>
          <xdr:row>12</xdr:row>
          <xdr:rowOff>297180</xdr:rowOff>
        </xdr:to>
        <xdr:sp macro="" textlink="">
          <xdr:nvSpPr>
            <xdr:cNvPr id="20488" name="Check Box 8" hidden="1">
              <a:extLst>
                <a:ext uri="{63B3BB69-23CF-44E3-9099-C40C66FF867C}">
                  <a14:compatExt spid="_x0000_s20488"/>
                </a:ext>
                <a:ext uri="{FF2B5EF4-FFF2-40B4-BE49-F238E27FC236}">
                  <a16:creationId xmlns:a16="http://schemas.microsoft.com/office/drawing/2014/main" id="{00000000-0008-0000-0200-00000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13</xdr:row>
          <xdr:rowOff>76200</xdr:rowOff>
        </xdr:from>
        <xdr:to>
          <xdr:col>5</xdr:col>
          <xdr:colOff>95250</xdr:colOff>
          <xdr:row>13</xdr:row>
          <xdr:rowOff>316230</xdr:rowOff>
        </xdr:to>
        <xdr:sp macro="" textlink="">
          <xdr:nvSpPr>
            <xdr:cNvPr id="20489" name="Check Box 9" hidden="1">
              <a:extLst>
                <a:ext uri="{63B3BB69-23CF-44E3-9099-C40C66FF867C}">
                  <a14:compatExt spid="_x0000_s20489"/>
                </a:ext>
                <a:ext uri="{FF2B5EF4-FFF2-40B4-BE49-F238E27FC236}">
                  <a16:creationId xmlns:a16="http://schemas.microsoft.com/office/drawing/2014/main" id="{00000000-0008-0000-0200-00000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10</xdr:row>
          <xdr:rowOff>95250</xdr:rowOff>
        </xdr:from>
        <xdr:to>
          <xdr:col>7</xdr:col>
          <xdr:colOff>95250</xdr:colOff>
          <xdr:row>10</xdr:row>
          <xdr:rowOff>323850</xdr:rowOff>
        </xdr:to>
        <xdr:sp macro="" textlink="">
          <xdr:nvSpPr>
            <xdr:cNvPr id="20490" name="Check Box 10" hidden="1">
              <a:extLst>
                <a:ext uri="{63B3BB69-23CF-44E3-9099-C40C66FF867C}">
                  <a14:compatExt spid="_x0000_s20490"/>
                </a:ext>
                <a:ext uri="{FF2B5EF4-FFF2-40B4-BE49-F238E27FC236}">
                  <a16:creationId xmlns:a16="http://schemas.microsoft.com/office/drawing/2014/main" id="{00000000-0008-0000-0200-00000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xdr:colOff>
          <xdr:row>10</xdr:row>
          <xdr:rowOff>95250</xdr:rowOff>
        </xdr:from>
        <xdr:to>
          <xdr:col>9</xdr:col>
          <xdr:colOff>95250</xdr:colOff>
          <xdr:row>10</xdr:row>
          <xdr:rowOff>323850</xdr:rowOff>
        </xdr:to>
        <xdr:sp macro="" textlink="">
          <xdr:nvSpPr>
            <xdr:cNvPr id="20491" name="Check Box 11" hidden="1">
              <a:extLst>
                <a:ext uri="{63B3BB69-23CF-44E3-9099-C40C66FF867C}">
                  <a14:compatExt spid="_x0000_s20491"/>
                </a:ext>
                <a:ext uri="{FF2B5EF4-FFF2-40B4-BE49-F238E27FC236}">
                  <a16:creationId xmlns:a16="http://schemas.microsoft.com/office/drawing/2014/main" id="{00000000-0008-0000-0200-00000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xdr:colOff>
          <xdr:row>13</xdr:row>
          <xdr:rowOff>87630</xdr:rowOff>
        </xdr:from>
        <xdr:to>
          <xdr:col>9</xdr:col>
          <xdr:colOff>95250</xdr:colOff>
          <xdr:row>13</xdr:row>
          <xdr:rowOff>323850</xdr:rowOff>
        </xdr:to>
        <xdr:sp macro="" textlink="">
          <xdr:nvSpPr>
            <xdr:cNvPr id="20492" name="Check Box 12" hidden="1">
              <a:extLst>
                <a:ext uri="{63B3BB69-23CF-44E3-9099-C40C66FF867C}">
                  <a14:compatExt spid="_x0000_s20492"/>
                </a:ext>
                <a:ext uri="{FF2B5EF4-FFF2-40B4-BE49-F238E27FC236}">
                  <a16:creationId xmlns:a16="http://schemas.microsoft.com/office/drawing/2014/main" id="{00000000-0008-0000-0200-00000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11430</xdr:colOff>
          <xdr:row>10</xdr:row>
          <xdr:rowOff>95250</xdr:rowOff>
        </xdr:from>
        <xdr:to>
          <xdr:col>11</xdr:col>
          <xdr:colOff>95250</xdr:colOff>
          <xdr:row>10</xdr:row>
          <xdr:rowOff>323850</xdr:rowOff>
        </xdr:to>
        <xdr:sp macro="" textlink="">
          <xdr:nvSpPr>
            <xdr:cNvPr id="20493" name="Check Box 13" hidden="1">
              <a:extLst>
                <a:ext uri="{63B3BB69-23CF-44E3-9099-C40C66FF867C}">
                  <a14:compatExt spid="_x0000_s20493"/>
                </a:ext>
                <a:ext uri="{FF2B5EF4-FFF2-40B4-BE49-F238E27FC236}">
                  <a16:creationId xmlns:a16="http://schemas.microsoft.com/office/drawing/2014/main" id="{00000000-0008-0000-0200-00000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10</xdr:row>
          <xdr:rowOff>95250</xdr:rowOff>
        </xdr:from>
        <xdr:to>
          <xdr:col>13</xdr:col>
          <xdr:colOff>106680</xdr:colOff>
          <xdr:row>10</xdr:row>
          <xdr:rowOff>323850</xdr:rowOff>
        </xdr:to>
        <xdr:sp macro="" textlink="">
          <xdr:nvSpPr>
            <xdr:cNvPr id="20494" name="Check Box 14" hidden="1">
              <a:extLst>
                <a:ext uri="{63B3BB69-23CF-44E3-9099-C40C66FF867C}">
                  <a14:compatExt spid="_x0000_s20494"/>
                </a:ext>
                <a:ext uri="{FF2B5EF4-FFF2-40B4-BE49-F238E27FC236}">
                  <a16:creationId xmlns:a16="http://schemas.microsoft.com/office/drawing/2014/main" id="{00000000-0008-0000-0200-00000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xdr:colOff>
          <xdr:row>14</xdr:row>
          <xdr:rowOff>38100</xdr:rowOff>
        </xdr:from>
        <xdr:to>
          <xdr:col>3</xdr:col>
          <xdr:colOff>95250</xdr:colOff>
          <xdr:row>14</xdr:row>
          <xdr:rowOff>285750</xdr:rowOff>
        </xdr:to>
        <xdr:sp macro="" textlink="">
          <xdr:nvSpPr>
            <xdr:cNvPr id="20495" name="Check Box 15" hidden="1">
              <a:extLst>
                <a:ext uri="{63B3BB69-23CF-44E3-9099-C40C66FF867C}">
                  <a14:compatExt spid="_x0000_s20495"/>
                </a:ext>
                <a:ext uri="{FF2B5EF4-FFF2-40B4-BE49-F238E27FC236}">
                  <a16:creationId xmlns:a16="http://schemas.microsoft.com/office/drawing/2014/main" id="{00000000-0008-0000-0200-00000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14</xdr:row>
          <xdr:rowOff>49530</xdr:rowOff>
        </xdr:from>
        <xdr:to>
          <xdr:col>7</xdr:col>
          <xdr:colOff>95250</xdr:colOff>
          <xdr:row>14</xdr:row>
          <xdr:rowOff>323850</xdr:rowOff>
        </xdr:to>
        <xdr:sp macro="" textlink="">
          <xdr:nvSpPr>
            <xdr:cNvPr id="20496" name="Check Box 16" hidden="1">
              <a:extLst>
                <a:ext uri="{63B3BB69-23CF-44E3-9099-C40C66FF867C}">
                  <a14:compatExt spid="_x0000_s20496"/>
                </a:ext>
                <a:ext uri="{FF2B5EF4-FFF2-40B4-BE49-F238E27FC236}">
                  <a16:creationId xmlns:a16="http://schemas.microsoft.com/office/drawing/2014/main" id="{00000000-0008-0000-0200-00001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xdr:colOff>
          <xdr:row>14</xdr:row>
          <xdr:rowOff>30480</xdr:rowOff>
        </xdr:from>
        <xdr:to>
          <xdr:col>9</xdr:col>
          <xdr:colOff>95250</xdr:colOff>
          <xdr:row>14</xdr:row>
          <xdr:rowOff>323850</xdr:rowOff>
        </xdr:to>
        <xdr:sp macro="" textlink="">
          <xdr:nvSpPr>
            <xdr:cNvPr id="20497" name="Check Box 17" hidden="1">
              <a:extLst>
                <a:ext uri="{63B3BB69-23CF-44E3-9099-C40C66FF867C}">
                  <a14:compatExt spid="_x0000_s20497"/>
                </a:ext>
                <a:ext uri="{FF2B5EF4-FFF2-40B4-BE49-F238E27FC236}">
                  <a16:creationId xmlns:a16="http://schemas.microsoft.com/office/drawing/2014/main" id="{00000000-0008-0000-0200-00001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11430</xdr:colOff>
          <xdr:row>14</xdr:row>
          <xdr:rowOff>38100</xdr:rowOff>
        </xdr:from>
        <xdr:to>
          <xdr:col>11</xdr:col>
          <xdr:colOff>95250</xdr:colOff>
          <xdr:row>14</xdr:row>
          <xdr:rowOff>323850</xdr:rowOff>
        </xdr:to>
        <xdr:sp macro="" textlink="">
          <xdr:nvSpPr>
            <xdr:cNvPr id="20498" name="Check Box 18" hidden="1">
              <a:extLst>
                <a:ext uri="{63B3BB69-23CF-44E3-9099-C40C66FF867C}">
                  <a14:compatExt spid="_x0000_s20498"/>
                </a:ext>
                <a:ext uri="{FF2B5EF4-FFF2-40B4-BE49-F238E27FC236}">
                  <a16:creationId xmlns:a16="http://schemas.microsoft.com/office/drawing/2014/main" id="{00000000-0008-0000-0200-00001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11430</xdr:colOff>
          <xdr:row>15</xdr:row>
          <xdr:rowOff>76200</xdr:rowOff>
        </xdr:from>
        <xdr:to>
          <xdr:col>11</xdr:col>
          <xdr:colOff>95250</xdr:colOff>
          <xdr:row>15</xdr:row>
          <xdr:rowOff>304800</xdr:rowOff>
        </xdr:to>
        <xdr:sp macro="" textlink="">
          <xdr:nvSpPr>
            <xdr:cNvPr id="20499" name="Check Box 19" hidden="1">
              <a:extLst>
                <a:ext uri="{63B3BB69-23CF-44E3-9099-C40C66FF867C}">
                  <a14:compatExt spid="_x0000_s20499"/>
                </a:ext>
                <a:ext uri="{FF2B5EF4-FFF2-40B4-BE49-F238E27FC236}">
                  <a16:creationId xmlns:a16="http://schemas.microsoft.com/office/drawing/2014/main" id="{00000000-0008-0000-0200-00001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xdr:colOff>
          <xdr:row>15</xdr:row>
          <xdr:rowOff>76200</xdr:rowOff>
        </xdr:from>
        <xdr:to>
          <xdr:col>9</xdr:col>
          <xdr:colOff>95250</xdr:colOff>
          <xdr:row>15</xdr:row>
          <xdr:rowOff>304800</xdr:rowOff>
        </xdr:to>
        <xdr:sp macro="" textlink="">
          <xdr:nvSpPr>
            <xdr:cNvPr id="20500" name="Check Box 20" hidden="1">
              <a:extLst>
                <a:ext uri="{63B3BB69-23CF-44E3-9099-C40C66FF867C}">
                  <a14:compatExt spid="_x0000_s20500"/>
                </a:ext>
                <a:ext uri="{FF2B5EF4-FFF2-40B4-BE49-F238E27FC236}">
                  <a16:creationId xmlns:a16="http://schemas.microsoft.com/office/drawing/2014/main" id="{00000000-0008-0000-0200-00001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15</xdr:row>
          <xdr:rowOff>76200</xdr:rowOff>
        </xdr:from>
        <xdr:to>
          <xdr:col>7</xdr:col>
          <xdr:colOff>95250</xdr:colOff>
          <xdr:row>15</xdr:row>
          <xdr:rowOff>304800</xdr:rowOff>
        </xdr:to>
        <xdr:sp macro="" textlink="">
          <xdr:nvSpPr>
            <xdr:cNvPr id="20501" name="Check Box 21" hidden="1">
              <a:extLst>
                <a:ext uri="{63B3BB69-23CF-44E3-9099-C40C66FF867C}">
                  <a14:compatExt spid="_x0000_s20501"/>
                </a:ext>
                <a:ext uri="{FF2B5EF4-FFF2-40B4-BE49-F238E27FC236}">
                  <a16:creationId xmlns:a16="http://schemas.microsoft.com/office/drawing/2014/main" id="{00000000-0008-0000-0200-00001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106680</xdr:rowOff>
        </xdr:from>
        <xdr:to>
          <xdr:col>9</xdr:col>
          <xdr:colOff>87630</xdr:colOff>
          <xdr:row>16</xdr:row>
          <xdr:rowOff>335280</xdr:rowOff>
        </xdr:to>
        <xdr:sp macro="" textlink="">
          <xdr:nvSpPr>
            <xdr:cNvPr id="20502" name="Check Box 22" hidden="1">
              <a:extLst>
                <a:ext uri="{63B3BB69-23CF-44E3-9099-C40C66FF867C}">
                  <a14:compatExt spid="_x0000_s20502"/>
                </a:ext>
                <a:ext uri="{FF2B5EF4-FFF2-40B4-BE49-F238E27FC236}">
                  <a16:creationId xmlns:a16="http://schemas.microsoft.com/office/drawing/2014/main" id="{00000000-0008-0000-0200-00001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11430</xdr:colOff>
          <xdr:row>16</xdr:row>
          <xdr:rowOff>114300</xdr:rowOff>
        </xdr:from>
        <xdr:to>
          <xdr:col>11</xdr:col>
          <xdr:colOff>95250</xdr:colOff>
          <xdr:row>16</xdr:row>
          <xdr:rowOff>342900</xdr:rowOff>
        </xdr:to>
        <xdr:sp macro="" textlink="">
          <xdr:nvSpPr>
            <xdr:cNvPr id="20503" name="Check Box 23" hidden="1">
              <a:extLst>
                <a:ext uri="{63B3BB69-23CF-44E3-9099-C40C66FF867C}">
                  <a14:compatExt spid="_x0000_s20503"/>
                </a:ext>
                <a:ext uri="{FF2B5EF4-FFF2-40B4-BE49-F238E27FC236}">
                  <a16:creationId xmlns:a16="http://schemas.microsoft.com/office/drawing/2014/main" id="{00000000-0008-0000-0200-00001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xdr:colOff>
          <xdr:row>15</xdr:row>
          <xdr:rowOff>152400</xdr:rowOff>
        </xdr:from>
        <xdr:to>
          <xdr:col>3</xdr:col>
          <xdr:colOff>95250</xdr:colOff>
          <xdr:row>15</xdr:row>
          <xdr:rowOff>381000</xdr:rowOff>
        </xdr:to>
        <xdr:sp macro="" textlink="">
          <xdr:nvSpPr>
            <xdr:cNvPr id="20504" name="Check Box 24" hidden="1">
              <a:extLst>
                <a:ext uri="{63B3BB69-23CF-44E3-9099-C40C66FF867C}">
                  <a14:compatExt spid="_x0000_s20504"/>
                </a:ext>
                <a:ext uri="{FF2B5EF4-FFF2-40B4-BE49-F238E27FC236}">
                  <a16:creationId xmlns:a16="http://schemas.microsoft.com/office/drawing/2014/main" id="{00000000-0008-0000-0200-00001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17</xdr:row>
          <xdr:rowOff>106680</xdr:rowOff>
        </xdr:from>
        <xdr:to>
          <xdr:col>5</xdr:col>
          <xdr:colOff>95250</xdr:colOff>
          <xdr:row>17</xdr:row>
          <xdr:rowOff>335280</xdr:rowOff>
        </xdr:to>
        <xdr:sp macro="" textlink="">
          <xdr:nvSpPr>
            <xdr:cNvPr id="20505" name="Check Box 25" hidden="1">
              <a:extLst>
                <a:ext uri="{63B3BB69-23CF-44E3-9099-C40C66FF867C}">
                  <a14:compatExt spid="_x0000_s20505"/>
                </a:ext>
                <a:ext uri="{FF2B5EF4-FFF2-40B4-BE49-F238E27FC236}">
                  <a16:creationId xmlns:a16="http://schemas.microsoft.com/office/drawing/2014/main" id="{00000000-0008-0000-0200-00001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18</xdr:row>
          <xdr:rowOff>76200</xdr:rowOff>
        </xdr:from>
        <xdr:to>
          <xdr:col>5</xdr:col>
          <xdr:colOff>95250</xdr:colOff>
          <xdr:row>18</xdr:row>
          <xdr:rowOff>304800</xdr:rowOff>
        </xdr:to>
        <xdr:sp macro="" textlink="">
          <xdr:nvSpPr>
            <xdr:cNvPr id="20506" name="Check Box 26" hidden="1">
              <a:extLst>
                <a:ext uri="{63B3BB69-23CF-44E3-9099-C40C66FF867C}">
                  <a14:compatExt spid="_x0000_s20506"/>
                </a:ext>
                <a:ext uri="{FF2B5EF4-FFF2-40B4-BE49-F238E27FC236}">
                  <a16:creationId xmlns:a16="http://schemas.microsoft.com/office/drawing/2014/main" id="{00000000-0008-0000-0200-00001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19</xdr:row>
          <xdr:rowOff>68580</xdr:rowOff>
        </xdr:from>
        <xdr:to>
          <xdr:col>5</xdr:col>
          <xdr:colOff>95250</xdr:colOff>
          <xdr:row>19</xdr:row>
          <xdr:rowOff>297180</xdr:rowOff>
        </xdr:to>
        <xdr:sp macro="" textlink="">
          <xdr:nvSpPr>
            <xdr:cNvPr id="20507" name="Check Box 27" hidden="1">
              <a:extLst>
                <a:ext uri="{63B3BB69-23CF-44E3-9099-C40C66FF867C}">
                  <a14:compatExt spid="_x0000_s20507"/>
                </a:ext>
                <a:ext uri="{FF2B5EF4-FFF2-40B4-BE49-F238E27FC236}">
                  <a16:creationId xmlns:a16="http://schemas.microsoft.com/office/drawing/2014/main" id="{00000000-0008-0000-0200-00001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19</xdr:row>
          <xdr:rowOff>38100</xdr:rowOff>
        </xdr:from>
        <xdr:to>
          <xdr:col>7</xdr:col>
          <xdr:colOff>95250</xdr:colOff>
          <xdr:row>19</xdr:row>
          <xdr:rowOff>266700</xdr:rowOff>
        </xdr:to>
        <xdr:sp macro="" textlink="">
          <xdr:nvSpPr>
            <xdr:cNvPr id="20508" name="Check Box 28" hidden="1">
              <a:extLst>
                <a:ext uri="{63B3BB69-23CF-44E3-9099-C40C66FF867C}">
                  <a14:compatExt spid="_x0000_s20508"/>
                </a:ext>
                <a:ext uri="{FF2B5EF4-FFF2-40B4-BE49-F238E27FC236}">
                  <a16:creationId xmlns:a16="http://schemas.microsoft.com/office/drawing/2014/main" id="{00000000-0008-0000-0200-00001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20</xdr:row>
          <xdr:rowOff>57150</xdr:rowOff>
        </xdr:from>
        <xdr:to>
          <xdr:col>7</xdr:col>
          <xdr:colOff>95250</xdr:colOff>
          <xdr:row>20</xdr:row>
          <xdr:rowOff>285750</xdr:rowOff>
        </xdr:to>
        <xdr:sp macro="" textlink="">
          <xdr:nvSpPr>
            <xdr:cNvPr id="20509" name="Check Box 29" hidden="1">
              <a:extLst>
                <a:ext uri="{63B3BB69-23CF-44E3-9099-C40C66FF867C}">
                  <a14:compatExt spid="_x0000_s20509"/>
                </a:ext>
                <a:ext uri="{FF2B5EF4-FFF2-40B4-BE49-F238E27FC236}">
                  <a16:creationId xmlns:a16="http://schemas.microsoft.com/office/drawing/2014/main" id="{00000000-0008-0000-0200-00001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20</xdr:row>
          <xdr:rowOff>57150</xdr:rowOff>
        </xdr:from>
        <xdr:to>
          <xdr:col>5</xdr:col>
          <xdr:colOff>95250</xdr:colOff>
          <xdr:row>20</xdr:row>
          <xdr:rowOff>285750</xdr:rowOff>
        </xdr:to>
        <xdr:sp macro="" textlink="">
          <xdr:nvSpPr>
            <xdr:cNvPr id="20510" name="Check Box 30" hidden="1">
              <a:extLst>
                <a:ext uri="{63B3BB69-23CF-44E3-9099-C40C66FF867C}">
                  <a14:compatExt spid="_x0000_s20510"/>
                </a:ext>
                <a:ext uri="{FF2B5EF4-FFF2-40B4-BE49-F238E27FC236}">
                  <a16:creationId xmlns:a16="http://schemas.microsoft.com/office/drawing/2014/main" id="{00000000-0008-0000-0200-00001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87630</xdr:rowOff>
        </xdr:from>
        <xdr:to>
          <xdr:col>9</xdr:col>
          <xdr:colOff>87630</xdr:colOff>
          <xdr:row>17</xdr:row>
          <xdr:rowOff>316230</xdr:rowOff>
        </xdr:to>
        <xdr:sp macro="" textlink="">
          <xdr:nvSpPr>
            <xdr:cNvPr id="20511" name="Check Box 31" hidden="1">
              <a:extLst>
                <a:ext uri="{63B3BB69-23CF-44E3-9099-C40C66FF867C}">
                  <a14:compatExt spid="_x0000_s20511"/>
                </a:ext>
                <a:ext uri="{FF2B5EF4-FFF2-40B4-BE49-F238E27FC236}">
                  <a16:creationId xmlns:a16="http://schemas.microsoft.com/office/drawing/2014/main" id="{00000000-0008-0000-0200-00001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7</xdr:row>
          <xdr:rowOff>68580</xdr:rowOff>
        </xdr:from>
        <xdr:to>
          <xdr:col>7</xdr:col>
          <xdr:colOff>95250</xdr:colOff>
          <xdr:row>7</xdr:row>
          <xdr:rowOff>297180</xdr:rowOff>
        </xdr:to>
        <xdr:sp macro="" textlink="">
          <xdr:nvSpPr>
            <xdr:cNvPr id="20512" name="Check Box 32" hidden="1">
              <a:extLst>
                <a:ext uri="{63B3BB69-23CF-44E3-9099-C40C66FF867C}">
                  <a14:compatExt spid="_x0000_s20512"/>
                </a:ext>
                <a:ext uri="{FF2B5EF4-FFF2-40B4-BE49-F238E27FC236}">
                  <a16:creationId xmlns:a16="http://schemas.microsoft.com/office/drawing/2014/main" id="{00000000-0008-0000-0200-00002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552450</xdr:colOff>
          <xdr:row>3</xdr:row>
          <xdr:rowOff>0</xdr:rowOff>
        </xdr:from>
        <xdr:to>
          <xdr:col>12</xdr:col>
          <xdr:colOff>0</xdr:colOff>
          <xdr:row>3</xdr:row>
          <xdr:rowOff>278130</xdr:rowOff>
        </xdr:to>
        <xdr:sp macro="" textlink="">
          <xdr:nvSpPr>
            <xdr:cNvPr id="20513" name="Button 33" descr="Uncheck All" hidden="1">
              <a:extLst>
                <a:ext uri="{63B3BB69-23CF-44E3-9099-C40C66FF867C}">
                  <a14:compatExt spid="_x0000_s20513"/>
                </a:ext>
                <a:ext uri="{FF2B5EF4-FFF2-40B4-BE49-F238E27FC236}">
                  <a16:creationId xmlns:a16="http://schemas.microsoft.com/office/drawing/2014/main" id="{00000000-0008-0000-0200-000021500000}"/>
                </a:ext>
              </a:extLst>
            </xdr:cNvPr>
            <xdr:cNvSpPr/>
          </xdr:nvSpPr>
          <xdr:spPr bwMode="auto">
            <a:xfrm>
              <a:off x="0" y="0"/>
              <a:ext cx="0" cy="0"/>
            </a:xfrm>
            <a:prstGeom prst="rect">
              <a:avLst/>
            </a:prstGeom>
            <a:noFill/>
            <a:ln w="9525">
              <a:miter lim="800000"/>
              <a:headEnd/>
              <a:tailEnd/>
            </a:ln>
          </xdr:spPr>
          <xdr:txBody>
            <a:bodyPr vertOverflow="clip" wrap="square" lIns="64008" tIns="41148" rIns="64008" bIns="41148" anchor="ctr" upright="1"/>
            <a:lstStyle/>
            <a:p>
              <a:pPr algn="ctr" rtl="0">
                <a:defRPr sz="1000"/>
              </a:pPr>
              <a:r>
                <a:rPr lang="en-US" sz="1000" b="1" i="0" u="none" strike="noStrike" baseline="0">
                  <a:solidFill>
                    <a:srgbClr val="000000"/>
                  </a:solidFill>
                  <a:latin typeface="Verdana"/>
                  <a:ea typeface="Verdana"/>
                </a:rPr>
                <a:t>Uncheck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17</xdr:row>
          <xdr:rowOff>68580</xdr:rowOff>
        </xdr:from>
        <xdr:to>
          <xdr:col>7</xdr:col>
          <xdr:colOff>95250</xdr:colOff>
          <xdr:row>17</xdr:row>
          <xdr:rowOff>297180</xdr:rowOff>
        </xdr:to>
        <xdr:sp macro="" textlink="">
          <xdr:nvSpPr>
            <xdr:cNvPr id="20514" name="Check Box 34" hidden="1">
              <a:extLst>
                <a:ext uri="{63B3BB69-23CF-44E3-9099-C40C66FF867C}">
                  <a14:compatExt spid="_x0000_s20514"/>
                </a:ext>
                <a:ext uri="{FF2B5EF4-FFF2-40B4-BE49-F238E27FC236}">
                  <a16:creationId xmlns:a16="http://schemas.microsoft.com/office/drawing/2014/main" id="{00000000-0008-0000-0200-00002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xdr:colOff>
          <xdr:row>7</xdr:row>
          <xdr:rowOff>57150</xdr:rowOff>
        </xdr:from>
        <xdr:to>
          <xdr:col>3</xdr:col>
          <xdr:colOff>106680</xdr:colOff>
          <xdr:row>7</xdr:row>
          <xdr:rowOff>297180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10</xdr:row>
          <xdr:rowOff>95250</xdr:rowOff>
        </xdr:from>
        <xdr:to>
          <xdr:col>5</xdr:col>
          <xdr:colOff>95250</xdr:colOff>
          <xdr:row>10</xdr:row>
          <xdr:rowOff>323850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xdr:colOff>
          <xdr:row>7</xdr:row>
          <xdr:rowOff>0</xdr:rowOff>
        </xdr:from>
        <xdr:to>
          <xdr:col>9</xdr:col>
          <xdr:colOff>95250</xdr:colOff>
          <xdr:row>7</xdr:row>
          <xdr:rowOff>297180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7</xdr:row>
          <xdr:rowOff>19050</xdr:rowOff>
        </xdr:from>
        <xdr:to>
          <xdr:col>11</xdr:col>
          <xdr:colOff>106680</xdr:colOff>
          <xdr:row>7</xdr:row>
          <xdr:rowOff>285750</xdr:rowOff>
        </xdr:to>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4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8</xdr:row>
          <xdr:rowOff>76200</xdr:rowOff>
        </xdr:from>
        <xdr:to>
          <xdr:col>3</xdr:col>
          <xdr:colOff>125730</xdr:colOff>
          <xdr:row>8</xdr:row>
          <xdr:rowOff>316230</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xdr:colOff>
          <xdr:row>9</xdr:row>
          <xdr:rowOff>163830</xdr:rowOff>
        </xdr:from>
        <xdr:to>
          <xdr:col>3</xdr:col>
          <xdr:colOff>106680</xdr:colOff>
          <xdr:row>9</xdr:row>
          <xdr:rowOff>392430</xdr:rowOff>
        </xdr:to>
        <xdr:sp macro="" textlink="">
          <xdr:nvSpPr>
            <xdr:cNvPr id="16390" name="Check Box 6"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11</xdr:row>
          <xdr:rowOff>76200</xdr:rowOff>
        </xdr:from>
        <xdr:to>
          <xdr:col>5</xdr:col>
          <xdr:colOff>95250</xdr:colOff>
          <xdr:row>11</xdr:row>
          <xdr:rowOff>316230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4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12</xdr:row>
          <xdr:rowOff>68580</xdr:rowOff>
        </xdr:from>
        <xdr:to>
          <xdr:col>5</xdr:col>
          <xdr:colOff>95250</xdr:colOff>
          <xdr:row>12</xdr:row>
          <xdr:rowOff>297180</xdr:rowOff>
        </xdr:to>
        <xdr:sp macro="" textlink="">
          <xdr:nvSpPr>
            <xdr:cNvPr id="16392" name="Check Box 8" hidden="1">
              <a:extLst>
                <a:ext uri="{63B3BB69-23CF-44E3-9099-C40C66FF867C}">
                  <a14:compatExt spid="_x0000_s16392"/>
                </a:ext>
                <a:ext uri="{FF2B5EF4-FFF2-40B4-BE49-F238E27FC236}">
                  <a16:creationId xmlns:a16="http://schemas.microsoft.com/office/drawing/2014/main" id="{00000000-0008-0000-0400-00000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13</xdr:row>
          <xdr:rowOff>76200</xdr:rowOff>
        </xdr:from>
        <xdr:to>
          <xdr:col>5</xdr:col>
          <xdr:colOff>95250</xdr:colOff>
          <xdr:row>13</xdr:row>
          <xdr:rowOff>316230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10</xdr:row>
          <xdr:rowOff>95250</xdr:rowOff>
        </xdr:from>
        <xdr:to>
          <xdr:col>7</xdr:col>
          <xdr:colOff>95250</xdr:colOff>
          <xdr:row>10</xdr:row>
          <xdr:rowOff>323850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xdr:colOff>
          <xdr:row>10</xdr:row>
          <xdr:rowOff>95250</xdr:rowOff>
        </xdr:from>
        <xdr:to>
          <xdr:col>9</xdr:col>
          <xdr:colOff>95250</xdr:colOff>
          <xdr:row>10</xdr:row>
          <xdr:rowOff>323850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xdr:colOff>
          <xdr:row>13</xdr:row>
          <xdr:rowOff>87630</xdr:rowOff>
        </xdr:from>
        <xdr:to>
          <xdr:col>9</xdr:col>
          <xdr:colOff>95250</xdr:colOff>
          <xdr:row>13</xdr:row>
          <xdr:rowOff>323850</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11430</xdr:colOff>
          <xdr:row>10</xdr:row>
          <xdr:rowOff>95250</xdr:rowOff>
        </xdr:from>
        <xdr:to>
          <xdr:col>11</xdr:col>
          <xdr:colOff>95250</xdr:colOff>
          <xdr:row>10</xdr:row>
          <xdr:rowOff>323850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4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10</xdr:row>
          <xdr:rowOff>95250</xdr:rowOff>
        </xdr:from>
        <xdr:to>
          <xdr:col>13</xdr:col>
          <xdr:colOff>106680</xdr:colOff>
          <xdr:row>10</xdr:row>
          <xdr:rowOff>323850</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4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xdr:colOff>
          <xdr:row>14</xdr:row>
          <xdr:rowOff>38100</xdr:rowOff>
        </xdr:from>
        <xdr:to>
          <xdr:col>3</xdr:col>
          <xdr:colOff>95250</xdr:colOff>
          <xdr:row>14</xdr:row>
          <xdr:rowOff>285750</xdr:rowOff>
        </xdr:to>
        <xdr:sp macro="" textlink="">
          <xdr:nvSpPr>
            <xdr:cNvPr id="16399" name="Check Box 15" hidden="1">
              <a:extLst>
                <a:ext uri="{63B3BB69-23CF-44E3-9099-C40C66FF867C}">
                  <a14:compatExt spid="_x0000_s16399"/>
                </a:ext>
                <a:ext uri="{FF2B5EF4-FFF2-40B4-BE49-F238E27FC236}">
                  <a16:creationId xmlns:a16="http://schemas.microsoft.com/office/drawing/2014/main" id="{00000000-0008-0000-04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14</xdr:row>
          <xdr:rowOff>49530</xdr:rowOff>
        </xdr:from>
        <xdr:to>
          <xdr:col>7</xdr:col>
          <xdr:colOff>95250</xdr:colOff>
          <xdr:row>14</xdr:row>
          <xdr:rowOff>323850</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xdr:colOff>
          <xdr:row>14</xdr:row>
          <xdr:rowOff>30480</xdr:rowOff>
        </xdr:from>
        <xdr:to>
          <xdr:col>9</xdr:col>
          <xdr:colOff>95250</xdr:colOff>
          <xdr:row>14</xdr:row>
          <xdr:rowOff>323850</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11430</xdr:colOff>
          <xdr:row>14</xdr:row>
          <xdr:rowOff>38100</xdr:rowOff>
        </xdr:from>
        <xdr:to>
          <xdr:col>11</xdr:col>
          <xdr:colOff>95250</xdr:colOff>
          <xdr:row>14</xdr:row>
          <xdr:rowOff>323850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4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11430</xdr:colOff>
          <xdr:row>15</xdr:row>
          <xdr:rowOff>76200</xdr:rowOff>
        </xdr:from>
        <xdr:to>
          <xdr:col>11</xdr:col>
          <xdr:colOff>95250</xdr:colOff>
          <xdr:row>15</xdr:row>
          <xdr:rowOff>304800</xdr:rowOff>
        </xdr:to>
        <xdr:sp macro="" textlink="">
          <xdr:nvSpPr>
            <xdr:cNvPr id="16403" name="Check Box 19" hidden="1">
              <a:extLst>
                <a:ext uri="{63B3BB69-23CF-44E3-9099-C40C66FF867C}">
                  <a14:compatExt spid="_x0000_s16403"/>
                </a:ext>
                <a:ext uri="{FF2B5EF4-FFF2-40B4-BE49-F238E27FC236}">
                  <a16:creationId xmlns:a16="http://schemas.microsoft.com/office/drawing/2014/main" id="{00000000-0008-0000-0400-00001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xdr:colOff>
          <xdr:row>15</xdr:row>
          <xdr:rowOff>76200</xdr:rowOff>
        </xdr:from>
        <xdr:to>
          <xdr:col>9</xdr:col>
          <xdr:colOff>95250</xdr:colOff>
          <xdr:row>15</xdr:row>
          <xdr:rowOff>304800</xdr:rowOff>
        </xdr:to>
        <xdr:sp macro="" textlink="">
          <xdr:nvSpPr>
            <xdr:cNvPr id="16404" name="Check Box 20" hidden="1">
              <a:extLst>
                <a:ext uri="{63B3BB69-23CF-44E3-9099-C40C66FF867C}">
                  <a14:compatExt spid="_x0000_s16404"/>
                </a:ext>
                <a:ext uri="{FF2B5EF4-FFF2-40B4-BE49-F238E27FC236}">
                  <a16:creationId xmlns:a16="http://schemas.microsoft.com/office/drawing/2014/main" id="{00000000-0008-0000-0400-00001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15</xdr:row>
          <xdr:rowOff>76200</xdr:rowOff>
        </xdr:from>
        <xdr:to>
          <xdr:col>7</xdr:col>
          <xdr:colOff>95250</xdr:colOff>
          <xdr:row>15</xdr:row>
          <xdr:rowOff>304800</xdr:rowOff>
        </xdr:to>
        <xdr:sp macro="" textlink="">
          <xdr:nvSpPr>
            <xdr:cNvPr id="16405" name="Check Box 21" hidden="1">
              <a:extLst>
                <a:ext uri="{63B3BB69-23CF-44E3-9099-C40C66FF867C}">
                  <a14:compatExt spid="_x0000_s16405"/>
                </a:ext>
                <a:ext uri="{FF2B5EF4-FFF2-40B4-BE49-F238E27FC236}">
                  <a16:creationId xmlns:a16="http://schemas.microsoft.com/office/drawing/2014/main" id="{00000000-0008-0000-0400-00001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106680</xdr:rowOff>
        </xdr:from>
        <xdr:to>
          <xdr:col>9</xdr:col>
          <xdr:colOff>87630</xdr:colOff>
          <xdr:row>16</xdr:row>
          <xdr:rowOff>335280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4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11430</xdr:colOff>
          <xdr:row>16</xdr:row>
          <xdr:rowOff>114300</xdr:rowOff>
        </xdr:from>
        <xdr:to>
          <xdr:col>11</xdr:col>
          <xdr:colOff>95250</xdr:colOff>
          <xdr:row>16</xdr:row>
          <xdr:rowOff>342900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4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xdr:colOff>
          <xdr:row>15</xdr:row>
          <xdr:rowOff>152400</xdr:rowOff>
        </xdr:from>
        <xdr:to>
          <xdr:col>3</xdr:col>
          <xdr:colOff>95250</xdr:colOff>
          <xdr:row>15</xdr:row>
          <xdr:rowOff>381000</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4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17</xdr:row>
          <xdr:rowOff>106680</xdr:rowOff>
        </xdr:from>
        <xdr:to>
          <xdr:col>5</xdr:col>
          <xdr:colOff>95250</xdr:colOff>
          <xdr:row>17</xdr:row>
          <xdr:rowOff>335280</xdr:rowOff>
        </xdr:to>
        <xdr:sp macro="" textlink="">
          <xdr:nvSpPr>
            <xdr:cNvPr id="16409" name="Check Box 25" hidden="1">
              <a:extLst>
                <a:ext uri="{63B3BB69-23CF-44E3-9099-C40C66FF867C}">
                  <a14:compatExt spid="_x0000_s16409"/>
                </a:ext>
                <a:ext uri="{FF2B5EF4-FFF2-40B4-BE49-F238E27FC236}">
                  <a16:creationId xmlns:a16="http://schemas.microsoft.com/office/drawing/2014/main" id="{00000000-0008-0000-0400-00001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18</xdr:row>
          <xdr:rowOff>76200</xdr:rowOff>
        </xdr:from>
        <xdr:to>
          <xdr:col>5</xdr:col>
          <xdr:colOff>95250</xdr:colOff>
          <xdr:row>18</xdr:row>
          <xdr:rowOff>304800</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4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19</xdr:row>
          <xdr:rowOff>68580</xdr:rowOff>
        </xdr:from>
        <xdr:to>
          <xdr:col>5</xdr:col>
          <xdr:colOff>95250</xdr:colOff>
          <xdr:row>19</xdr:row>
          <xdr:rowOff>297180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4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19</xdr:row>
          <xdr:rowOff>38100</xdr:rowOff>
        </xdr:from>
        <xdr:to>
          <xdr:col>7</xdr:col>
          <xdr:colOff>95250</xdr:colOff>
          <xdr:row>19</xdr:row>
          <xdr:rowOff>266700</xdr:rowOff>
        </xdr:to>
        <xdr:sp macro="" textlink="">
          <xdr:nvSpPr>
            <xdr:cNvPr id="16412" name="Check Box 28" hidden="1">
              <a:extLst>
                <a:ext uri="{63B3BB69-23CF-44E3-9099-C40C66FF867C}">
                  <a14:compatExt spid="_x0000_s16412"/>
                </a:ext>
                <a:ext uri="{FF2B5EF4-FFF2-40B4-BE49-F238E27FC236}">
                  <a16:creationId xmlns:a16="http://schemas.microsoft.com/office/drawing/2014/main" id="{00000000-0008-0000-0400-00001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20</xdr:row>
          <xdr:rowOff>57150</xdr:rowOff>
        </xdr:from>
        <xdr:to>
          <xdr:col>7</xdr:col>
          <xdr:colOff>95250</xdr:colOff>
          <xdr:row>20</xdr:row>
          <xdr:rowOff>285750</xdr:rowOff>
        </xdr:to>
        <xdr:sp macro="" textlink="">
          <xdr:nvSpPr>
            <xdr:cNvPr id="16413" name="Check Box 29" hidden="1">
              <a:extLst>
                <a:ext uri="{63B3BB69-23CF-44E3-9099-C40C66FF867C}">
                  <a14:compatExt spid="_x0000_s16413"/>
                </a:ext>
                <a:ext uri="{FF2B5EF4-FFF2-40B4-BE49-F238E27FC236}">
                  <a16:creationId xmlns:a16="http://schemas.microsoft.com/office/drawing/2014/main" id="{00000000-0008-0000-0400-00001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xdr:colOff>
          <xdr:row>20</xdr:row>
          <xdr:rowOff>57150</xdr:rowOff>
        </xdr:from>
        <xdr:to>
          <xdr:col>5</xdr:col>
          <xdr:colOff>95250</xdr:colOff>
          <xdr:row>20</xdr:row>
          <xdr:rowOff>285750</xdr:rowOff>
        </xdr:to>
        <xdr:sp macro="" textlink="">
          <xdr:nvSpPr>
            <xdr:cNvPr id="16414" name="Check Box 30" hidden="1">
              <a:extLst>
                <a:ext uri="{63B3BB69-23CF-44E3-9099-C40C66FF867C}">
                  <a14:compatExt spid="_x0000_s16414"/>
                </a:ext>
                <a:ext uri="{FF2B5EF4-FFF2-40B4-BE49-F238E27FC236}">
                  <a16:creationId xmlns:a16="http://schemas.microsoft.com/office/drawing/2014/main" id="{00000000-0008-0000-0400-00001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87630</xdr:rowOff>
        </xdr:from>
        <xdr:to>
          <xdr:col>9</xdr:col>
          <xdr:colOff>87630</xdr:colOff>
          <xdr:row>17</xdr:row>
          <xdr:rowOff>316230</xdr:rowOff>
        </xdr:to>
        <xdr:sp macro="" textlink="">
          <xdr:nvSpPr>
            <xdr:cNvPr id="16415" name="Check Box 31" hidden="1">
              <a:extLst>
                <a:ext uri="{63B3BB69-23CF-44E3-9099-C40C66FF867C}">
                  <a14:compatExt spid="_x0000_s16415"/>
                </a:ext>
                <a:ext uri="{FF2B5EF4-FFF2-40B4-BE49-F238E27FC236}">
                  <a16:creationId xmlns:a16="http://schemas.microsoft.com/office/drawing/2014/main" id="{00000000-0008-0000-0400-00001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7</xdr:row>
          <xdr:rowOff>68580</xdr:rowOff>
        </xdr:from>
        <xdr:to>
          <xdr:col>7</xdr:col>
          <xdr:colOff>95250</xdr:colOff>
          <xdr:row>7</xdr:row>
          <xdr:rowOff>297180</xdr:rowOff>
        </xdr:to>
        <xdr:sp macro="" textlink="">
          <xdr:nvSpPr>
            <xdr:cNvPr id="16416" name="Check Box 32" hidden="1">
              <a:extLst>
                <a:ext uri="{63B3BB69-23CF-44E3-9099-C40C66FF867C}">
                  <a14:compatExt spid="_x0000_s16416"/>
                </a:ext>
                <a:ext uri="{FF2B5EF4-FFF2-40B4-BE49-F238E27FC236}">
                  <a16:creationId xmlns:a16="http://schemas.microsoft.com/office/drawing/2014/main" id="{00000000-0008-0000-0400-00002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552450</xdr:colOff>
          <xdr:row>3</xdr:row>
          <xdr:rowOff>0</xdr:rowOff>
        </xdr:from>
        <xdr:to>
          <xdr:col>12</xdr:col>
          <xdr:colOff>0</xdr:colOff>
          <xdr:row>3</xdr:row>
          <xdr:rowOff>278130</xdr:rowOff>
        </xdr:to>
        <xdr:sp macro="" textlink="">
          <xdr:nvSpPr>
            <xdr:cNvPr id="16417" name="Button 33" descr="Uncheck All" hidden="1">
              <a:extLst>
                <a:ext uri="{63B3BB69-23CF-44E3-9099-C40C66FF867C}">
                  <a14:compatExt spid="_x0000_s16417"/>
                </a:ext>
                <a:ext uri="{FF2B5EF4-FFF2-40B4-BE49-F238E27FC236}">
                  <a16:creationId xmlns:a16="http://schemas.microsoft.com/office/drawing/2014/main" id="{00000000-0008-0000-0400-000021400000}"/>
                </a:ext>
              </a:extLst>
            </xdr:cNvPr>
            <xdr:cNvSpPr/>
          </xdr:nvSpPr>
          <xdr:spPr bwMode="auto">
            <a:xfrm>
              <a:off x="0" y="0"/>
              <a:ext cx="0" cy="0"/>
            </a:xfrm>
            <a:prstGeom prst="rect">
              <a:avLst/>
            </a:prstGeom>
            <a:noFill/>
            <a:ln w="9525">
              <a:miter lim="800000"/>
              <a:headEnd/>
              <a:tailEnd/>
            </a:ln>
          </xdr:spPr>
          <xdr:txBody>
            <a:bodyPr vertOverflow="clip" wrap="square" lIns="64008" tIns="41148" rIns="64008" bIns="41148" anchor="ctr" upright="1"/>
            <a:lstStyle/>
            <a:p>
              <a:pPr algn="ctr" rtl="0">
                <a:defRPr sz="1000"/>
              </a:pPr>
              <a:r>
                <a:rPr lang="en-US" sz="1000" b="1" i="0" u="none" strike="noStrike" baseline="0">
                  <a:solidFill>
                    <a:srgbClr val="000000"/>
                  </a:solidFill>
                  <a:latin typeface="Verdana"/>
                  <a:ea typeface="Verdana"/>
                </a:rPr>
                <a:t>Uncheck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xdr:colOff>
          <xdr:row>17</xdr:row>
          <xdr:rowOff>68580</xdr:rowOff>
        </xdr:from>
        <xdr:to>
          <xdr:col>7</xdr:col>
          <xdr:colOff>95250</xdr:colOff>
          <xdr:row>17</xdr:row>
          <xdr:rowOff>297180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4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259080</xdr:colOff>
          <xdr:row>6</xdr:row>
          <xdr:rowOff>411480</xdr:rowOff>
        </xdr:from>
        <xdr:to>
          <xdr:col>8</xdr:col>
          <xdr:colOff>601980</xdr:colOff>
          <xdr:row>6</xdr:row>
          <xdr:rowOff>647700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7</xdr:row>
          <xdr:rowOff>133350</xdr:rowOff>
        </xdr:from>
        <xdr:to>
          <xdr:col>8</xdr:col>
          <xdr:colOff>601980</xdr:colOff>
          <xdr:row>7</xdr:row>
          <xdr:rowOff>361950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8</xdr:row>
          <xdr:rowOff>125730</xdr:rowOff>
        </xdr:from>
        <xdr:to>
          <xdr:col>8</xdr:col>
          <xdr:colOff>601980</xdr:colOff>
          <xdr:row>8</xdr:row>
          <xdr:rowOff>361950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9</xdr:row>
          <xdr:rowOff>133350</xdr:rowOff>
        </xdr:from>
        <xdr:to>
          <xdr:col>8</xdr:col>
          <xdr:colOff>601980</xdr:colOff>
          <xdr:row>9</xdr:row>
          <xdr:rowOff>361950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5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10</xdr:row>
          <xdr:rowOff>381000</xdr:rowOff>
        </xdr:from>
        <xdr:to>
          <xdr:col>8</xdr:col>
          <xdr:colOff>601980</xdr:colOff>
          <xdr:row>10</xdr:row>
          <xdr:rowOff>609600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5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11</xdr:row>
          <xdr:rowOff>49530</xdr:rowOff>
        </xdr:from>
        <xdr:to>
          <xdr:col>8</xdr:col>
          <xdr:colOff>601980</xdr:colOff>
          <xdr:row>11</xdr:row>
          <xdr:rowOff>285750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12</xdr:row>
          <xdr:rowOff>133350</xdr:rowOff>
        </xdr:from>
        <xdr:to>
          <xdr:col>8</xdr:col>
          <xdr:colOff>601980</xdr:colOff>
          <xdr:row>12</xdr:row>
          <xdr:rowOff>361950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5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13</xdr:row>
          <xdr:rowOff>95250</xdr:rowOff>
        </xdr:from>
        <xdr:to>
          <xdr:col>8</xdr:col>
          <xdr:colOff>601980</xdr:colOff>
          <xdr:row>13</xdr:row>
          <xdr:rowOff>323850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14</xdr:row>
          <xdr:rowOff>49530</xdr:rowOff>
        </xdr:from>
        <xdr:to>
          <xdr:col>8</xdr:col>
          <xdr:colOff>601980</xdr:colOff>
          <xdr:row>14</xdr:row>
          <xdr:rowOff>278130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5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15</xdr:row>
          <xdr:rowOff>201930</xdr:rowOff>
        </xdr:from>
        <xdr:to>
          <xdr:col>8</xdr:col>
          <xdr:colOff>601980</xdr:colOff>
          <xdr:row>15</xdr:row>
          <xdr:rowOff>430530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5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16</xdr:row>
          <xdr:rowOff>38100</xdr:rowOff>
        </xdr:from>
        <xdr:to>
          <xdr:col>8</xdr:col>
          <xdr:colOff>601980</xdr:colOff>
          <xdr:row>16</xdr:row>
          <xdr:rowOff>266700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5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17</xdr:row>
          <xdr:rowOff>76200</xdr:rowOff>
        </xdr:from>
        <xdr:to>
          <xdr:col>8</xdr:col>
          <xdr:colOff>601980</xdr:colOff>
          <xdr:row>17</xdr:row>
          <xdr:rowOff>316230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5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18</xdr:row>
          <xdr:rowOff>76200</xdr:rowOff>
        </xdr:from>
        <xdr:to>
          <xdr:col>8</xdr:col>
          <xdr:colOff>601980</xdr:colOff>
          <xdr:row>18</xdr:row>
          <xdr:rowOff>323850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5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19</xdr:row>
          <xdr:rowOff>228600</xdr:rowOff>
        </xdr:from>
        <xdr:to>
          <xdr:col>8</xdr:col>
          <xdr:colOff>601980</xdr:colOff>
          <xdr:row>19</xdr:row>
          <xdr:rowOff>457200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20</xdr:row>
          <xdr:rowOff>38100</xdr:rowOff>
        </xdr:from>
        <xdr:to>
          <xdr:col>8</xdr:col>
          <xdr:colOff>601980</xdr:colOff>
          <xdr:row>20</xdr:row>
          <xdr:rowOff>285750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5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21</xdr:row>
          <xdr:rowOff>68580</xdr:rowOff>
        </xdr:from>
        <xdr:to>
          <xdr:col>8</xdr:col>
          <xdr:colOff>601980</xdr:colOff>
          <xdr:row>21</xdr:row>
          <xdr:rowOff>316230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5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22</xdr:row>
          <xdr:rowOff>182880</xdr:rowOff>
        </xdr:from>
        <xdr:to>
          <xdr:col>8</xdr:col>
          <xdr:colOff>601980</xdr:colOff>
          <xdr:row>22</xdr:row>
          <xdr:rowOff>419100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5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23</xdr:row>
          <xdr:rowOff>38100</xdr:rowOff>
        </xdr:from>
        <xdr:to>
          <xdr:col>8</xdr:col>
          <xdr:colOff>601980</xdr:colOff>
          <xdr:row>23</xdr:row>
          <xdr:rowOff>278130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5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24</xdr:row>
          <xdr:rowOff>68580</xdr:rowOff>
        </xdr:from>
        <xdr:to>
          <xdr:col>8</xdr:col>
          <xdr:colOff>601980</xdr:colOff>
          <xdr:row>24</xdr:row>
          <xdr:rowOff>316230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5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25</xdr:row>
          <xdr:rowOff>38100</xdr:rowOff>
        </xdr:from>
        <xdr:to>
          <xdr:col>8</xdr:col>
          <xdr:colOff>601980</xdr:colOff>
          <xdr:row>25</xdr:row>
          <xdr:rowOff>266700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5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26</xdr:row>
          <xdr:rowOff>209550</xdr:rowOff>
        </xdr:from>
        <xdr:to>
          <xdr:col>8</xdr:col>
          <xdr:colOff>601980</xdr:colOff>
          <xdr:row>26</xdr:row>
          <xdr:rowOff>438150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5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27</xdr:row>
          <xdr:rowOff>38100</xdr:rowOff>
        </xdr:from>
        <xdr:to>
          <xdr:col>8</xdr:col>
          <xdr:colOff>601980</xdr:colOff>
          <xdr:row>27</xdr:row>
          <xdr:rowOff>278130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5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28</xdr:row>
          <xdr:rowOff>30480</xdr:rowOff>
        </xdr:from>
        <xdr:to>
          <xdr:col>8</xdr:col>
          <xdr:colOff>601980</xdr:colOff>
          <xdr:row>28</xdr:row>
          <xdr:rowOff>278130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5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29</xdr:row>
          <xdr:rowOff>38100</xdr:rowOff>
        </xdr:from>
        <xdr:to>
          <xdr:col>8</xdr:col>
          <xdr:colOff>601980</xdr:colOff>
          <xdr:row>29</xdr:row>
          <xdr:rowOff>266700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5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30</xdr:row>
          <xdr:rowOff>190500</xdr:rowOff>
        </xdr:from>
        <xdr:to>
          <xdr:col>8</xdr:col>
          <xdr:colOff>601980</xdr:colOff>
          <xdr:row>30</xdr:row>
          <xdr:rowOff>419100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5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31</xdr:row>
          <xdr:rowOff>38100</xdr:rowOff>
        </xdr:from>
        <xdr:to>
          <xdr:col>8</xdr:col>
          <xdr:colOff>601980</xdr:colOff>
          <xdr:row>31</xdr:row>
          <xdr:rowOff>266700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5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32</xdr:row>
          <xdr:rowOff>87630</xdr:rowOff>
        </xdr:from>
        <xdr:to>
          <xdr:col>8</xdr:col>
          <xdr:colOff>601980</xdr:colOff>
          <xdr:row>32</xdr:row>
          <xdr:rowOff>316230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5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33</xdr:row>
          <xdr:rowOff>68580</xdr:rowOff>
        </xdr:from>
        <xdr:to>
          <xdr:col>8</xdr:col>
          <xdr:colOff>601980</xdr:colOff>
          <xdr:row>33</xdr:row>
          <xdr:rowOff>316230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5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2049780</xdr:colOff>
          <xdr:row>3</xdr:row>
          <xdr:rowOff>19050</xdr:rowOff>
        </xdr:from>
        <xdr:to>
          <xdr:col>8</xdr:col>
          <xdr:colOff>735330</xdr:colOff>
          <xdr:row>4</xdr:row>
          <xdr:rowOff>0</xdr:rowOff>
        </xdr:to>
        <xdr:sp macro="" textlink="">
          <xdr:nvSpPr>
            <xdr:cNvPr id="1060" name="Button 36" descr="Uncheck All" hidden="1">
              <a:extLst>
                <a:ext uri="{63B3BB69-23CF-44E3-9099-C40C66FF867C}">
                  <a14:compatExt spid="_x0000_s1060"/>
                </a:ext>
                <a:ext uri="{FF2B5EF4-FFF2-40B4-BE49-F238E27FC236}">
                  <a16:creationId xmlns:a16="http://schemas.microsoft.com/office/drawing/2014/main" id="{00000000-0008-0000-0500-000024040000}"/>
                </a:ext>
              </a:extLst>
            </xdr:cNvPr>
            <xdr:cNvSpPr/>
          </xdr:nvSpPr>
          <xdr:spPr bwMode="auto">
            <a:xfrm>
              <a:off x="0" y="0"/>
              <a:ext cx="0" cy="0"/>
            </a:xfrm>
            <a:prstGeom prst="rect">
              <a:avLst/>
            </a:prstGeom>
            <a:noFill/>
            <a:ln w="9525">
              <a:miter lim="800000"/>
              <a:headEnd/>
              <a:tailEnd/>
            </a:ln>
          </xdr:spPr>
          <xdr:txBody>
            <a:bodyPr vertOverflow="clip" wrap="square" lIns="64008" tIns="41148" rIns="64008" bIns="41148" anchor="ctr" upright="1"/>
            <a:lstStyle/>
            <a:p>
              <a:pPr algn="ctr" rtl="0">
                <a:defRPr sz="1000"/>
              </a:pPr>
              <a:r>
                <a:rPr lang="en-US" sz="1000" b="1" i="0" u="none" strike="noStrike" baseline="0">
                  <a:solidFill>
                    <a:srgbClr val="000000"/>
                  </a:solidFill>
                  <a:latin typeface="Verdana"/>
                  <a:ea typeface="Verdana"/>
                </a:rPr>
                <a:t>Uncheck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www.mutationtaster.org/" TargetMode="External"/><Relationship Id="rId18" Type="http://schemas.openxmlformats.org/officeDocument/2006/relationships/hyperlink" Target="http://www.mutationtaster.org/" TargetMode="External"/><Relationship Id="rId26" Type="http://schemas.openxmlformats.org/officeDocument/2006/relationships/hyperlink" Target="https://www.ncbi.nlm.nih.gov/clinvar/" TargetMode="External"/><Relationship Id="rId39" Type="http://schemas.openxmlformats.org/officeDocument/2006/relationships/comments" Target="../comments1.xml"/><Relationship Id="rId21" Type="http://schemas.openxmlformats.org/officeDocument/2006/relationships/hyperlink" Target="https://sift.bii.a-star.edu.sg/" TargetMode="External"/><Relationship Id="rId34" Type="http://schemas.openxmlformats.org/officeDocument/2006/relationships/hyperlink" Target="https://www.youtube.com/watch?v=Yb7tBV3AzQ4" TargetMode="External"/><Relationship Id="rId7" Type="http://schemas.openxmlformats.org/officeDocument/2006/relationships/hyperlink" Target="https://databases.lovd.nl/shared/genes" TargetMode="External"/><Relationship Id="rId12" Type="http://schemas.openxmlformats.org/officeDocument/2006/relationships/hyperlink" Target="http://beacon.prism-genomics.org/" TargetMode="External"/><Relationship Id="rId17" Type="http://schemas.openxmlformats.org/officeDocument/2006/relationships/hyperlink" Target="http://agvgd.hci.utah.edu/index.php" TargetMode="External"/><Relationship Id="rId25" Type="http://schemas.openxmlformats.org/officeDocument/2006/relationships/hyperlink" Target="https://mastermind.genomenon.com/" TargetMode="External"/><Relationship Id="rId33" Type="http://schemas.openxmlformats.org/officeDocument/2006/relationships/hyperlink" Target="https://arup.utah.edu/database/BRCA/" TargetMode="External"/><Relationship Id="rId38" Type="http://schemas.openxmlformats.org/officeDocument/2006/relationships/vmlDrawing" Target="../drawings/vmlDrawing1.vml"/><Relationship Id="rId2" Type="http://schemas.openxmlformats.org/officeDocument/2006/relationships/hyperlink" Target="https://mutalyzer.nl/" TargetMode="External"/><Relationship Id="rId16" Type="http://schemas.openxmlformats.org/officeDocument/2006/relationships/hyperlink" Target="http://www.mutationtaster.org/" TargetMode="External"/><Relationship Id="rId20" Type="http://schemas.openxmlformats.org/officeDocument/2006/relationships/hyperlink" Target="http://provean.jcvi.org/index.php" TargetMode="External"/><Relationship Id="rId29" Type="http://schemas.openxmlformats.org/officeDocument/2006/relationships/hyperlink" Target="http://www.lrg-sequence.org/" TargetMode="External"/><Relationship Id="rId1" Type="http://schemas.openxmlformats.org/officeDocument/2006/relationships/hyperlink" Target="https://www.ncbi.nlm.nih.gov/refseq/" TargetMode="External"/><Relationship Id="rId6" Type="http://schemas.openxmlformats.org/officeDocument/2006/relationships/hyperlink" Target="https://www.ncbi.nlm.nih.gov/clinvar/" TargetMode="External"/><Relationship Id="rId11" Type="http://schemas.openxmlformats.org/officeDocument/2006/relationships/hyperlink" Target="https://www.ncbi.nlm.nih.gov/variation/tools/1000genomes/" TargetMode="External"/><Relationship Id="rId24" Type="http://schemas.openxmlformats.org/officeDocument/2006/relationships/hyperlink" Target="http://pubmed.ncbi.nlm.nih.gov/" TargetMode="External"/><Relationship Id="rId32" Type="http://schemas.openxmlformats.org/officeDocument/2006/relationships/hyperlink" Target="http://www.genomizer.com/" TargetMode="External"/><Relationship Id="rId37" Type="http://schemas.openxmlformats.org/officeDocument/2006/relationships/printerSettings" Target="../printerSettings/printerSettings1.bin"/><Relationship Id="rId5" Type="http://schemas.openxmlformats.org/officeDocument/2006/relationships/hyperlink" Target="http://www.hgmd.cf.ac.uk/ac/index.php" TargetMode="External"/><Relationship Id="rId15" Type="http://schemas.openxmlformats.org/officeDocument/2006/relationships/hyperlink" Target="https://www.uniprot.org/uniprot/" TargetMode="External"/><Relationship Id="rId23" Type="http://schemas.openxmlformats.org/officeDocument/2006/relationships/hyperlink" Target="http://www.mutationtaster.org/" TargetMode="External"/><Relationship Id="rId28" Type="http://schemas.openxmlformats.org/officeDocument/2006/relationships/hyperlink" Target="https://www.uniprot.org/uniprot/" TargetMode="External"/><Relationship Id="rId36" Type="http://schemas.openxmlformats.org/officeDocument/2006/relationships/hyperlink" Target="https://www.uniprot.org/" TargetMode="External"/><Relationship Id="rId10" Type="http://schemas.openxmlformats.org/officeDocument/2006/relationships/hyperlink" Target="http://evs.gs.washington.edu/EVS/" TargetMode="External"/><Relationship Id="rId19" Type="http://schemas.openxmlformats.org/officeDocument/2006/relationships/hyperlink" Target="http://genetics.bwh.harvard.edu/pph2/" TargetMode="External"/><Relationship Id="rId31" Type="http://schemas.openxmlformats.org/officeDocument/2006/relationships/hyperlink" Target="https://varsome.com/" TargetMode="External"/><Relationship Id="rId4" Type="http://schemas.openxmlformats.org/officeDocument/2006/relationships/hyperlink" Target="https://www.ncbi.nlm.nih.gov/variation/view/" TargetMode="External"/><Relationship Id="rId9" Type="http://schemas.openxmlformats.org/officeDocument/2006/relationships/hyperlink" Target="http://gnomad.broadinstitute.org/" TargetMode="External"/><Relationship Id="rId14" Type="http://schemas.openxmlformats.org/officeDocument/2006/relationships/hyperlink" Target="http://www.mutationtaster.org/" TargetMode="External"/><Relationship Id="rId22" Type="http://schemas.openxmlformats.org/officeDocument/2006/relationships/hyperlink" Target="http://www.umd.be/HSF3/" TargetMode="External"/><Relationship Id="rId27" Type="http://schemas.openxmlformats.org/officeDocument/2006/relationships/hyperlink" Target="https://www.ncbi.nlm.nih.gov/clinvar/" TargetMode="External"/><Relationship Id="rId30" Type="http://schemas.openxmlformats.org/officeDocument/2006/relationships/hyperlink" Target="https://genome-asia.ucsc.edu/" TargetMode="External"/><Relationship Id="rId35" Type="http://schemas.openxmlformats.org/officeDocument/2006/relationships/hyperlink" Target="http://mutationassessor.org/r3/" TargetMode="External"/><Relationship Id="rId8" Type="http://schemas.openxmlformats.org/officeDocument/2006/relationships/hyperlink" Target="http://www.ncbi.nlm.nih.gov/snp/" TargetMode="External"/><Relationship Id="rId3" Type="http://schemas.openxmlformats.org/officeDocument/2006/relationships/hyperlink" Target="https://www.ncbi.nlm.nih.gov/variation/view/" TargetMode="Externa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21" Type="http://schemas.openxmlformats.org/officeDocument/2006/relationships/ctrlProp" Target="../ctrlProps/ctrlProp52.xml"/><Relationship Id="rId34" Type="http://schemas.openxmlformats.org/officeDocument/2006/relationships/ctrlProp" Target="../ctrlProps/ctrlProp65.xml"/><Relationship Id="rId7" Type="http://schemas.openxmlformats.org/officeDocument/2006/relationships/ctrlProp" Target="../ctrlProps/ctrlProp38.xml"/><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2" Type="http://schemas.openxmlformats.org/officeDocument/2006/relationships/drawing" Target="../drawings/drawing2.xml"/><Relationship Id="rId16" Type="http://schemas.openxmlformats.org/officeDocument/2006/relationships/ctrlProp" Target="../ctrlProps/ctrlProp47.xml"/><Relationship Id="rId20" Type="http://schemas.openxmlformats.org/officeDocument/2006/relationships/ctrlProp" Target="../ctrlProps/ctrlProp51.xml"/><Relationship Id="rId29" Type="http://schemas.openxmlformats.org/officeDocument/2006/relationships/ctrlProp" Target="../ctrlProps/ctrlProp60.xml"/><Relationship Id="rId1" Type="http://schemas.openxmlformats.org/officeDocument/2006/relationships/printerSettings" Target="../printerSettings/printerSettings3.bin"/><Relationship Id="rId6" Type="http://schemas.openxmlformats.org/officeDocument/2006/relationships/ctrlProp" Target="../ctrlProps/ctrlProp37.x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5" Type="http://schemas.openxmlformats.org/officeDocument/2006/relationships/ctrlProp" Target="../ctrlProps/ctrlProp36.x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 Type="http://schemas.openxmlformats.org/officeDocument/2006/relationships/ctrlProp" Target="../ctrlProps/ctrlProp35.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8" Type="http://schemas.openxmlformats.org/officeDocument/2006/relationships/ctrlProp" Target="../ctrlProps/ctrlProp39.xml"/><Relationship Id="rId3"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78.xml"/><Relationship Id="rId18" Type="http://schemas.openxmlformats.org/officeDocument/2006/relationships/ctrlProp" Target="../ctrlProps/ctrlProp83.xml"/><Relationship Id="rId26" Type="http://schemas.openxmlformats.org/officeDocument/2006/relationships/ctrlProp" Target="../ctrlProps/ctrlProp91.xml"/><Relationship Id="rId21" Type="http://schemas.openxmlformats.org/officeDocument/2006/relationships/ctrlProp" Target="../ctrlProps/ctrlProp86.xml"/><Relationship Id="rId34" Type="http://schemas.openxmlformats.org/officeDocument/2006/relationships/ctrlProp" Target="../ctrlProps/ctrlProp99.xml"/><Relationship Id="rId7" Type="http://schemas.openxmlformats.org/officeDocument/2006/relationships/ctrlProp" Target="../ctrlProps/ctrlProp72.xml"/><Relationship Id="rId12" Type="http://schemas.openxmlformats.org/officeDocument/2006/relationships/ctrlProp" Target="../ctrlProps/ctrlProp77.xml"/><Relationship Id="rId17" Type="http://schemas.openxmlformats.org/officeDocument/2006/relationships/ctrlProp" Target="../ctrlProps/ctrlProp82.xml"/><Relationship Id="rId25" Type="http://schemas.openxmlformats.org/officeDocument/2006/relationships/ctrlProp" Target="../ctrlProps/ctrlProp90.xml"/><Relationship Id="rId33" Type="http://schemas.openxmlformats.org/officeDocument/2006/relationships/ctrlProp" Target="../ctrlProps/ctrlProp98.xml"/><Relationship Id="rId2" Type="http://schemas.openxmlformats.org/officeDocument/2006/relationships/drawing" Target="../drawings/drawing3.xml"/><Relationship Id="rId16" Type="http://schemas.openxmlformats.org/officeDocument/2006/relationships/ctrlProp" Target="../ctrlProps/ctrlProp81.xml"/><Relationship Id="rId20" Type="http://schemas.openxmlformats.org/officeDocument/2006/relationships/ctrlProp" Target="../ctrlProps/ctrlProp85.xml"/><Relationship Id="rId29" Type="http://schemas.openxmlformats.org/officeDocument/2006/relationships/ctrlProp" Target="../ctrlProps/ctrlProp94.xml"/><Relationship Id="rId1" Type="http://schemas.openxmlformats.org/officeDocument/2006/relationships/printerSettings" Target="../printerSettings/printerSettings5.bin"/><Relationship Id="rId6" Type="http://schemas.openxmlformats.org/officeDocument/2006/relationships/ctrlProp" Target="../ctrlProps/ctrlProp71.xml"/><Relationship Id="rId11" Type="http://schemas.openxmlformats.org/officeDocument/2006/relationships/ctrlProp" Target="../ctrlProps/ctrlProp76.xml"/><Relationship Id="rId24" Type="http://schemas.openxmlformats.org/officeDocument/2006/relationships/ctrlProp" Target="../ctrlProps/ctrlProp89.xml"/><Relationship Id="rId32" Type="http://schemas.openxmlformats.org/officeDocument/2006/relationships/ctrlProp" Target="../ctrlProps/ctrlProp97.xml"/><Relationship Id="rId37" Type="http://schemas.openxmlformats.org/officeDocument/2006/relationships/ctrlProp" Target="../ctrlProps/ctrlProp102.xml"/><Relationship Id="rId5" Type="http://schemas.openxmlformats.org/officeDocument/2006/relationships/ctrlProp" Target="../ctrlProps/ctrlProp70.xml"/><Relationship Id="rId15" Type="http://schemas.openxmlformats.org/officeDocument/2006/relationships/ctrlProp" Target="../ctrlProps/ctrlProp80.xml"/><Relationship Id="rId23" Type="http://schemas.openxmlformats.org/officeDocument/2006/relationships/ctrlProp" Target="../ctrlProps/ctrlProp88.xml"/><Relationship Id="rId28" Type="http://schemas.openxmlformats.org/officeDocument/2006/relationships/ctrlProp" Target="../ctrlProps/ctrlProp93.xml"/><Relationship Id="rId36" Type="http://schemas.openxmlformats.org/officeDocument/2006/relationships/ctrlProp" Target="../ctrlProps/ctrlProp101.xml"/><Relationship Id="rId10" Type="http://schemas.openxmlformats.org/officeDocument/2006/relationships/ctrlProp" Target="../ctrlProps/ctrlProp75.xml"/><Relationship Id="rId19" Type="http://schemas.openxmlformats.org/officeDocument/2006/relationships/ctrlProp" Target="../ctrlProps/ctrlProp84.xml"/><Relationship Id="rId31" Type="http://schemas.openxmlformats.org/officeDocument/2006/relationships/ctrlProp" Target="../ctrlProps/ctrlProp96.xml"/><Relationship Id="rId4" Type="http://schemas.openxmlformats.org/officeDocument/2006/relationships/ctrlProp" Target="../ctrlProps/ctrlProp69.xml"/><Relationship Id="rId9" Type="http://schemas.openxmlformats.org/officeDocument/2006/relationships/ctrlProp" Target="../ctrlProps/ctrlProp74.xml"/><Relationship Id="rId14" Type="http://schemas.openxmlformats.org/officeDocument/2006/relationships/ctrlProp" Target="../ctrlProps/ctrlProp79.xml"/><Relationship Id="rId22" Type="http://schemas.openxmlformats.org/officeDocument/2006/relationships/ctrlProp" Target="../ctrlProps/ctrlProp87.xml"/><Relationship Id="rId27" Type="http://schemas.openxmlformats.org/officeDocument/2006/relationships/ctrlProp" Target="../ctrlProps/ctrlProp92.xml"/><Relationship Id="rId30" Type="http://schemas.openxmlformats.org/officeDocument/2006/relationships/ctrlProp" Target="../ctrlProps/ctrlProp95.xml"/><Relationship Id="rId35" Type="http://schemas.openxmlformats.org/officeDocument/2006/relationships/ctrlProp" Target="../ctrlProps/ctrlProp100.xml"/><Relationship Id="rId8" Type="http://schemas.openxmlformats.org/officeDocument/2006/relationships/ctrlProp" Target="../ctrlProps/ctrlProp73.xml"/><Relationship Id="rId3"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7.xml"/><Relationship Id="rId13" Type="http://schemas.openxmlformats.org/officeDocument/2006/relationships/ctrlProp" Target="../ctrlProps/ctrlProp112.xml"/><Relationship Id="rId18" Type="http://schemas.openxmlformats.org/officeDocument/2006/relationships/ctrlProp" Target="../ctrlProps/ctrlProp117.xml"/><Relationship Id="rId26" Type="http://schemas.openxmlformats.org/officeDocument/2006/relationships/ctrlProp" Target="../ctrlProps/ctrlProp125.xml"/><Relationship Id="rId3" Type="http://schemas.openxmlformats.org/officeDocument/2006/relationships/vmlDrawing" Target="../drawings/vmlDrawing6.vml"/><Relationship Id="rId21" Type="http://schemas.openxmlformats.org/officeDocument/2006/relationships/ctrlProp" Target="../ctrlProps/ctrlProp120.xml"/><Relationship Id="rId7" Type="http://schemas.openxmlformats.org/officeDocument/2006/relationships/ctrlProp" Target="../ctrlProps/ctrlProp106.xml"/><Relationship Id="rId12" Type="http://schemas.openxmlformats.org/officeDocument/2006/relationships/ctrlProp" Target="../ctrlProps/ctrlProp111.xml"/><Relationship Id="rId17" Type="http://schemas.openxmlformats.org/officeDocument/2006/relationships/ctrlProp" Target="../ctrlProps/ctrlProp116.xml"/><Relationship Id="rId25" Type="http://schemas.openxmlformats.org/officeDocument/2006/relationships/ctrlProp" Target="../ctrlProps/ctrlProp124.xml"/><Relationship Id="rId2" Type="http://schemas.openxmlformats.org/officeDocument/2006/relationships/drawing" Target="../drawings/drawing4.xml"/><Relationship Id="rId16" Type="http://schemas.openxmlformats.org/officeDocument/2006/relationships/ctrlProp" Target="../ctrlProps/ctrlProp115.xml"/><Relationship Id="rId20" Type="http://schemas.openxmlformats.org/officeDocument/2006/relationships/ctrlProp" Target="../ctrlProps/ctrlProp119.xml"/><Relationship Id="rId29" Type="http://schemas.openxmlformats.org/officeDocument/2006/relationships/ctrlProp" Target="../ctrlProps/ctrlProp128.xml"/><Relationship Id="rId1" Type="http://schemas.openxmlformats.org/officeDocument/2006/relationships/printerSettings" Target="../printerSettings/printerSettings6.bin"/><Relationship Id="rId6" Type="http://schemas.openxmlformats.org/officeDocument/2006/relationships/ctrlProp" Target="../ctrlProps/ctrlProp105.xml"/><Relationship Id="rId11" Type="http://schemas.openxmlformats.org/officeDocument/2006/relationships/ctrlProp" Target="../ctrlProps/ctrlProp110.xml"/><Relationship Id="rId24" Type="http://schemas.openxmlformats.org/officeDocument/2006/relationships/ctrlProp" Target="../ctrlProps/ctrlProp123.xml"/><Relationship Id="rId32" Type="http://schemas.openxmlformats.org/officeDocument/2006/relationships/ctrlProp" Target="../ctrlProps/ctrlProp131.xml"/><Relationship Id="rId5" Type="http://schemas.openxmlformats.org/officeDocument/2006/relationships/ctrlProp" Target="../ctrlProps/ctrlProp104.xml"/><Relationship Id="rId15" Type="http://schemas.openxmlformats.org/officeDocument/2006/relationships/ctrlProp" Target="../ctrlProps/ctrlProp114.xml"/><Relationship Id="rId23" Type="http://schemas.openxmlformats.org/officeDocument/2006/relationships/ctrlProp" Target="../ctrlProps/ctrlProp122.xml"/><Relationship Id="rId28" Type="http://schemas.openxmlformats.org/officeDocument/2006/relationships/ctrlProp" Target="../ctrlProps/ctrlProp127.xml"/><Relationship Id="rId10" Type="http://schemas.openxmlformats.org/officeDocument/2006/relationships/ctrlProp" Target="../ctrlProps/ctrlProp109.xml"/><Relationship Id="rId19" Type="http://schemas.openxmlformats.org/officeDocument/2006/relationships/ctrlProp" Target="../ctrlProps/ctrlProp118.xml"/><Relationship Id="rId31" Type="http://schemas.openxmlformats.org/officeDocument/2006/relationships/ctrlProp" Target="../ctrlProps/ctrlProp130.xml"/><Relationship Id="rId4" Type="http://schemas.openxmlformats.org/officeDocument/2006/relationships/ctrlProp" Target="../ctrlProps/ctrlProp103.xml"/><Relationship Id="rId9" Type="http://schemas.openxmlformats.org/officeDocument/2006/relationships/ctrlProp" Target="../ctrlProps/ctrlProp108.xml"/><Relationship Id="rId14" Type="http://schemas.openxmlformats.org/officeDocument/2006/relationships/ctrlProp" Target="../ctrlProps/ctrlProp113.xml"/><Relationship Id="rId22" Type="http://schemas.openxmlformats.org/officeDocument/2006/relationships/ctrlProp" Target="../ctrlProps/ctrlProp121.xml"/><Relationship Id="rId27" Type="http://schemas.openxmlformats.org/officeDocument/2006/relationships/ctrlProp" Target="../ctrlProps/ctrlProp126.xml"/><Relationship Id="rId30" Type="http://schemas.openxmlformats.org/officeDocument/2006/relationships/ctrlProp" Target="../ctrlProps/ctrlProp129.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A1:M63"/>
  <sheetViews>
    <sheetView showGridLines="0" tabSelected="1" zoomScaleNormal="100" workbookViewId="0">
      <pane ySplit="4" topLeftCell="A47" activePane="bottomLeft" state="frozen"/>
      <selection pane="bottomLeft" activeCell="B6" sqref="B6"/>
    </sheetView>
  </sheetViews>
  <sheetFormatPr defaultRowHeight="14.4" x14ac:dyDescent="0.55000000000000004"/>
  <cols>
    <col min="1" max="1" width="26.68359375" style="165" customWidth="1"/>
    <col min="2" max="2" width="64.26171875" style="165" customWidth="1"/>
    <col min="3" max="3" width="46.47265625" style="255" customWidth="1"/>
    <col min="4" max="4" width="56.83984375" customWidth="1"/>
  </cols>
  <sheetData>
    <row r="1" spans="1:13" ht="20.100000000000001" customHeight="1" x14ac:dyDescent="0.55000000000000004">
      <c r="A1" s="185" t="s">
        <v>217</v>
      </c>
      <c r="B1" s="191" t="s">
        <v>320</v>
      </c>
      <c r="C1" s="200" t="s">
        <v>261</v>
      </c>
      <c r="D1" s="201" t="s">
        <v>260</v>
      </c>
      <c r="E1" s="214"/>
      <c r="F1" s="214"/>
      <c r="G1" s="214"/>
      <c r="H1" s="214"/>
      <c r="I1" s="214"/>
      <c r="J1" s="214"/>
      <c r="K1" s="214"/>
      <c r="L1" s="214"/>
      <c r="M1" s="214"/>
    </row>
    <row r="2" spans="1:13" ht="18" customHeight="1" x14ac:dyDescent="0.55000000000000004">
      <c r="A2" s="183" t="s">
        <v>216</v>
      </c>
      <c r="B2" s="176" t="s">
        <v>243</v>
      </c>
      <c r="C2" s="239" t="s">
        <v>246</v>
      </c>
      <c r="D2" s="193"/>
      <c r="E2" s="214"/>
      <c r="F2" s="214"/>
      <c r="G2" s="214"/>
      <c r="H2" s="214"/>
      <c r="I2" s="214"/>
      <c r="J2" s="214"/>
      <c r="K2" s="214"/>
      <c r="L2" s="214"/>
      <c r="M2" s="214"/>
    </row>
    <row r="3" spans="1:13" ht="18" customHeight="1" x14ac:dyDescent="0.55000000000000004">
      <c r="A3" s="183" t="s">
        <v>215</v>
      </c>
      <c r="B3" s="176" t="s">
        <v>244</v>
      </c>
      <c r="C3" s="240" t="s">
        <v>313</v>
      </c>
      <c r="D3" s="193"/>
      <c r="E3" s="214"/>
      <c r="F3" s="214"/>
      <c r="G3" s="214"/>
      <c r="H3" s="214"/>
      <c r="I3" s="214"/>
      <c r="J3" s="214"/>
      <c r="K3" s="214"/>
      <c r="L3" s="214"/>
      <c r="M3" s="214"/>
    </row>
    <row r="4" spans="1:13" ht="18" customHeight="1" x14ac:dyDescent="0.55000000000000004">
      <c r="A4" s="183" t="s">
        <v>214</v>
      </c>
      <c r="B4" s="176" t="s">
        <v>245</v>
      </c>
      <c r="C4" s="239" t="s">
        <v>247</v>
      </c>
      <c r="D4" s="193"/>
      <c r="E4" s="214"/>
      <c r="F4" s="214"/>
      <c r="G4" s="214"/>
      <c r="H4" s="214"/>
      <c r="I4" s="214"/>
      <c r="J4" s="214"/>
      <c r="K4" s="214"/>
      <c r="L4" s="214"/>
      <c r="M4" s="214"/>
    </row>
    <row r="5" spans="1:13" ht="28.8" x14ac:dyDescent="0.55000000000000004">
      <c r="A5" s="192" t="s">
        <v>241</v>
      </c>
      <c r="B5" s="207"/>
      <c r="C5" s="263" t="s">
        <v>322</v>
      </c>
      <c r="D5" s="195" t="s">
        <v>249</v>
      </c>
      <c r="E5" s="214"/>
      <c r="F5" s="214"/>
      <c r="G5" s="214"/>
      <c r="H5" s="214"/>
      <c r="I5" s="214"/>
      <c r="J5" s="214"/>
      <c r="K5" s="214"/>
      <c r="L5" s="214"/>
      <c r="M5" s="214"/>
    </row>
    <row r="6" spans="1:13" s="172" customFormat="1" ht="18" customHeight="1" x14ac:dyDescent="0.55000000000000004">
      <c r="A6" s="184" t="s">
        <v>212</v>
      </c>
      <c r="B6" s="190" t="s">
        <v>250</v>
      </c>
      <c r="C6" s="242" t="s">
        <v>251</v>
      </c>
      <c r="D6" s="194"/>
      <c r="E6" s="215"/>
      <c r="F6" s="215"/>
      <c r="G6" s="215"/>
      <c r="H6" s="215"/>
      <c r="I6" s="215"/>
      <c r="J6" s="215"/>
      <c r="K6" s="215"/>
      <c r="L6" s="215"/>
      <c r="M6" s="215"/>
    </row>
    <row r="7" spans="1:13" s="172" customFormat="1" ht="18" customHeight="1" x14ac:dyDescent="0.55000000000000004">
      <c r="A7" s="184" t="s">
        <v>211</v>
      </c>
      <c r="B7" s="196" t="s">
        <v>252</v>
      </c>
      <c r="C7" s="242" t="s">
        <v>251</v>
      </c>
      <c r="D7" s="194"/>
      <c r="E7" s="215"/>
      <c r="F7" s="215"/>
      <c r="G7" s="215"/>
      <c r="H7" s="215"/>
      <c r="I7" s="215"/>
      <c r="J7" s="215"/>
      <c r="K7" s="215"/>
      <c r="L7" s="215"/>
      <c r="M7" s="215"/>
    </row>
    <row r="8" spans="1:13" ht="18" customHeight="1" x14ac:dyDescent="0.55000000000000004">
      <c r="A8" s="183" t="s">
        <v>210</v>
      </c>
      <c r="B8" s="233" t="s">
        <v>314</v>
      </c>
      <c r="C8" s="240"/>
      <c r="D8" s="193"/>
      <c r="E8" s="214"/>
      <c r="F8" s="214"/>
      <c r="G8" s="214"/>
      <c r="H8" s="214"/>
      <c r="I8" s="214"/>
      <c r="J8" s="214"/>
      <c r="K8" s="214"/>
      <c r="L8" s="214"/>
      <c r="M8" s="214"/>
    </row>
    <row r="9" spans="1:13" ht="18" customHeight="1" x14ac:dyDescent="0.55000000000000004">
      <c r="A9" s="169" t="s">
        <v>208</v>
      </c>
      <c r="B9" s="168"/>
      <c r="C9" s="243"/>
      <c r="D9" s="218"/>
    </row>
    <row r="10" spans="1:13" ht="28.8" x14ac:dyDescent="0.55000000000000004">
      <c r="A10" s="167" t="s">
        <v>207</v>
      </c>
      <c r="B10" s="176" t="s">
        <v>253</v>
      </c>
      <c r="C10" s="244" t="s">
        <v>254</v>
      </c>
      <c r="D10" s="197" t="s">
        <v>289</v>
      </c>
    </row>
    <row r="11" spans="1:13" ht="18" customHeight="1" x14ac:dyDescent="0.55000000000000004">
      <c r="A11" s="198" t="s">
        <v>206</v>
      </c>
      <c r="B11" s="206"/>
      <c r="C11" s="239" t="s">
        <v>255</v>
      </c>
      <c r="D11" s="199" t="s">
        <v>256</v>
      </c>
    </row>
    <row r="12" spans="1:13" ht="43.2" x14ac:dyDescent="0.55000000000000004">
      <c r="A12" s="167" t="s">
        <v>205</v>
      </c>
      <c r="B12" s="176" t="s">
        <v>257</v>
      </c>
      <c r="C12" s="264" t="s">
        <v>258</v>
      </c>
      <c r="D12" s="199" t="s">
        <v>259</v>
      </c>
    </row>
    <row r="13" spans="1:13" ht="18" customHeight="1" x14ac:dyDescent="0.55000000000000004">
      <c r="A13" s="169" t="s">
        <v>204</v>
      </c>
      <c r="B13" s="168"/>
      <c r="C13" s="243"/>
      <c r="D13" s="218"/>
    </row>
    <row r="14" spans="1:13" ht="18" customHeight="1" x14ac:dyDescent="0.55000000000000004">
      <c r="A14" s="198" t="s">
        <v>203</v>
      </c>
      <c r="B14" s="206"/>
      <c r="C14" s="239" t="s">
        <v>262</v>
      </c>
      <c r="D14" s="199" t="s">
        <v>269</v>
      </c>
    </row>
    <row r="15" spans="1:13" ht="18" customHeight="1" x14ac:dyDescent="0.55000000000000004">
      <c r="A15" s="198" t="s">
        <v>202</v>
      </c>
      <c r="B15" s="206"/>
      <c r="C15" s="239" t="s">
        <v>263</v>
      </c>
      <c r="D15" s="199" t="s">
        <v>270</v>
      </c>
    </row>
    <row r="16" spans="1:13" ht="18" customHeight="1" x14ac:dyDescent="0.55000000000000004">
      <c r="A16" s="167" t="s">
        <v>201</v>
      </c>
      <c r="B16" s="176" t="s">
        <v>200</v>
      </c>
      <c r="C16" s="239" t="s">
        <v>264</v>
      </c>
      <c r="D16" s="199" t="s">
        <v>271</v>
      </c>
    </row>
    <row r="17" spans="1:4" ht="28.8" x14ac:dyDescent="0.55000000000000004">
      <c r="A17" s="167" t="s">
        <v>199</v>
      </c>
      <c r="B17" s="176" t="s">
        <v>200</v>
      </c>
      <c r="C17" s="239" t="s">
        <v>265</v>
      </c>
      <c r="D17" s="199" t="s">
        <v>272</v>
      </c>
    </row>
    <row r="18" spans="1:4" s="181" customFormat="1" ht="18" customHeight="1" x14ac:dyDescent="0.55000000000000004">
      <c r="A18" s="180" t="s">
        <v>198</v>
      </c>
      <c r="B18" s="176" t="s">
        <v>267</v>
      </c>
      <c r="C18" s="245" t="s">
        <v>266</v>
      </c>
      <c r="D18" s="217" t="s">
        <v>291</v>
      </c>
    </row>
    <row r="19" spans="1:4" ht="18" customHeight="1" x14ac:dyDescent="0.55000000000000004">
      <c r="A19" s="180" t="s">
        <v>197</v>
      </c>
      <c r="B19" s="216" t="s">
        <v>292</v>
      </c>
      <c r="C19" s="246"/>
      <c r="D19" s="203" t="s">
        <v>268</v>
      </c>
    </row>
    <row r="20" spans="1:4" ht="18" customHeight="1" x14ac:dyDescent="0.55000000000000004">
      <c r="A20" s="171" t="s">
        <v>196</v>
      </c>
      <c r="B20" s="168"/>
      <c r="C20" s="243"/>
      <c r="D20" s="218"/>
    </row>
    <row r="21" spans="1:4" ht="72" x14ac:dyDescent="0.55000000000000004">
      <c r="A21" s="178" t="s">
        <v>195</v>
      </c>
      <c r="B21" s="202" t="s">
        <v>194</v>
      </c>
      <c r="C21" s="247" t="s">
        <v>274</v>
      </c>
      <c r="D21" s="204" t="s">
        <v>275</v>
      </c>
    </row>
    <row r="22" spans="1:4" ht="32.1" customHeight="1" x14ac:dyDescent="0.55000000000000004">
      <c r="A22" s="198" t="s">
        <v>193</v>
      </c>
      <c r="B22" s="206"/>
      <c r="C22" s="248" t="s">
        <v>274</v>
      </c>
      <c r="D22" s="204" t="s">
        <v>321</v>
      </c>
    </row>
    <row r="23" spans="1:4" ht="28.8" x14ac:dyDescent="0.55000000000000004">
      <c r="A23" s="275" t="s">
        <v>192</v>
      </c>
      <c r="B23" s="271" t="s">
        <v>273</v>
      </c>
      <c r="C23" s="249" t="s">
        <v>248</v>
      </c>
      <c r="D23" s="204" t="s">
        <v>276</v>
      </c>
    </row>
    <row r="24" spans="1:4" ht="63.9" customHeight="1" x14ac:dyDescent="0.55000000000000004">
      <c r="A24" s="276"/>
      <c r="B24" s="272"/>
      <c r="C24" s="248" t="s">
        <v>274</v>
      </c>
      <c r="D24" s="204" t="s">
        <v>321</v>
      </c>
    </row>
    <row r="25" spans="1:4" ht="18" customHeight="1" x14ac:dyDescent="0.55000000000000004">
      <c r="A25" s="169" t="s">
        <v>190</v>
      </c>
      <c r="B25" s="168"/>
      <c r="C25" s="243"/>
      <c r="D25" s="218"/>
    </row>
    <row r="26" spans="1:4" s="175" customFormat="1" ht="28.8" x14ac:dyDescent="0.55000000000000004">
      <c r="A26" s="277" t="s">
        <v>290</v>
      </c>
      <c r="B26" s="207"/>
      <c r="C26" s="248" t="s">
        <v>277</v>
      </c>
      <c r="D26" s="204" t="s">
        <v>318</v>
      </c>
    </row>
    <row r="27" spans="1:4" s="175" customFormat="1" x14ac:dyDescent="0.55000000000000004">
      <c r="A27" s="278"/>
      <c r="B27" s="176" t="s">
        <v>283</v>
      </c>
      <c r="C27" s="262" t="s">
        <v>274</v>
      </c>
      <c r="D27" s="204" t="s">
        <v>280</v>
      </c>
    </row>
    <row r="28" spans="1:4" s="175" customFormat="1" ht="57.6" x14ac:dyDescent="0.55000000000000004">
      <c r="A28" s="278"/>
      <c r="B28" s="207"/>
      <c r="C28" s="248" t="s">
        <v>278</v>
      </c>
      <c r="D28" s="204" t="s">
        <v>281</v>
      </c>
    </row>
    <row r="29" spans="1:4" s="175" customFormat="1" ht="43.2" x14ac:dyDescent="0.55000000000000004">
      <c r="A29" s="278"/>
      <c r="B29" s="176" t="s">
        <v>284</v>
      </c>
      <c r="C29" s="247" t="s">
        <v>315</v>
      </c>
      <c r="D29" s="204" t="s">
        <v>316</v>
      </c>
    </row>
    <row r="30" spans="1:4" s="175" customFormat="1" ht="28.8" x14ac:dyDescent="0.55000000000000004">
      <c r="A30" s="278"/>
      <c r="B30" s="176" t="s">
        <v>285</v>
      </c>
      <c r="C30" s="248" t="s">
        <v>279</v>
      </c>
      <c r="D30" s="204" t="s">
        <v>282</v>
      </c>
    </row>
    <row r="31" spans="1:4" s="175" customFormat="1" ht="28.8" x14ac:dyDescent="0.55000000000000004">
      <c r="A31" s="279"/>
      <c r="B31" s="176" t="s">
        <v>286</v>
      </c>
      <c r="C31" s="248" t="s">
        <v>317</v>
      </c>
      <c r="D31" s="204" t="s">
        <v>282</v>
      </c>
    </row>
    <row r="32" spans="1:4" ht="18" customHeight="1" x14ac:dyDescent="0.55000000000000004">
      <c r="A32" s="169" t="s">
        <v>188</v>
      </c>
      <c r="B32" s="168"/>
      <c r="C32" s="243"/>
      <c r="D32" s="218"/>
    </row>
    <row r="33" spans="1:4" ht="20.100000000000001" customHeight="1" x14ac:dyDescent="0.55000000000000004">
      <c r="A33" s="167" t="s">
        <v>187</v>
      </c>
      <c r="B33" s="216" t="s">
        <v>293</v>
      </c>
      <c r="C33" s="244" t="s">
        <v>287</v>
      </c>
      <c r="D33" s="197" t="s">
        <v>288</v>
      </c>
    </row>
    <row r="34" spans="1:4" s="172" customFormat="1" ht="86.4" x14ac:dyDescent="0.55000000000000004">
      <c r="A34" s="174" t="s">
        <v>186</v>
      </c>
      <c r="B34" s="190" t="s">
        <v>294</v>
      </c>
      <c r="C34" s="248" t="s">
        <v>274</v>
      </c>
      <c r="D34" s="204" t="s">
        <v>280</v>
      </c>
    </row>
    <row r="35" spans="1:4" ht="18" customHeight="1" x14ac:dyDescent="0.55000000000000004">
      <c r="A35" s="169" t="s">
        <v>185</v>
      </c>
      <c r="B35" s="168"/>
      <c r="C35" s="243"/>
      <c r="D35" s="218"/>
    </row>
    <row r="36" spans="1:4" ht="174.9" customHeight="1" x14ac:dyDescent="0.55000000000000004">
      <c r="A36" s="268" t="s">
        <v>184</v>
      </c>
      <c r="B36" s="271" t="s">
        <v>295</v>
      </c>
      <c r="C36" s="239" t="s">
        <v>296</v>
      </c>
      <c r="D36" s="193"/>
    </row>
    <row r="37" spans="1:4" ht="72.3" customHeight="1" x14ac:dyDescent="0.55000000000000004">
      <c r="A37" s="281"/>
      <c r="B37" s="280"/>
      <c r="C37" s="239" t="s">
        <v>255</v>
      </c>
      <c r="D37" s="199" t="s">
        <v>256</v>
      </c>
    </row>
    <row r="38" spans="1:4" ht="35.4" customHeight="1" x14ac:dyDescent="0.55000000000000004">
      <c r="A38" s="282"/>
      <c r="B38" s="272"/>
      <c r="C38" s="250" t="s">
        <v>297</v>
      </c>
      <c r="D38" s="219" t="s">
        <v>298</v>
      </c>
    </row>
    <row r="39" spans="1:4" ht="18" customHeight="1" x14ac:dyDescent="0.55000000000000004">
      <c r="A39" s="171" t="s">
        <v>183</v>
      </c>
      <c r="B39" s="170"/>
      <c r="C39" s="243"/>
      <c r="D39" s="218"/>
    </row>
    <row r="40" spans="1:4" x14ac:dyDescent="0.55000000000000004">
      <c r="A40" s="273" t="s">
        <v>182</v>
      </c>
      <c r="B40" s="271" t="s">
        <v>299</v>
      </c>
      <c r="C40" s="239" t="s">
        <v>255</v>
      </c>
      <c r="D40" s="199" t="s">
        <v>256</v>
      </c>
    </row>
    <row r="41" spans="1:4" ht="28.8" x14ac:dyDescent="0.55000000000000004">
      <c r="A41" s="274"/>
      <c r="B41" s="272"/>
      <c r="C41" s="241" t="s">
        <v>248</v>
      </c>
      <c r="D41" s="195" t="s">
        <v>249</v>
      </c>
    </row>
    <row r="42" spans="1:4" ht="18" customHeight="1" x14ac:dyDescent="0.55000000000000004">
      <c r="A42" s="171" t="s">
        <v>218</v>
      </c>
      <c r="B42" s="168"/>
      <c r="C42" s="243"/>
      <c r="D42" s="218"/>
    </row>
    <row r="43" spans="1:4" ht="172.8" x14ac:dyDescent="0.55000000000000004">
      <c r="A43" s="167" t="s">
        <v>181</v>
      </c>
      <c r="B43" s="176" t="s">
        <v>319</v>
      </c>
      <c r="C43" s="240"/>
      <c r="D43" s="193"/>
    </row>
    <row r="44" spans="1:4" ht="18" customHeight="1" x14ac:dyDescent="0.55000000000000004">
      <c r="A44" s="169" t="s">
        <v>219</v>
      </c>
      <c r="B44" s="168"/>
      <c r="C44" s="243"/>
      <c r="D44" s="218"/>
    </row>
    <row r="45" spans="1:4" ht="32.1" customHeight="1" x14ac:dyDescent="0.55000000000000004">
      <c r="A45" s="167" t="s">
        <v>180</v>
      </c>
      <c r="B45" s="234"/>
      <c r="C45" s="251"/>
      <c r="D45" s="235"/>
    </row>
    <row r="46" spans="1:4" ht="43.2" x14ac:dyDescent="0.55000000000000004">
      <c r="A46" s="231" t="s">
        <v>242</v>
      </c>
      <c r="B46" s="236"/>
      <c r="C46" s="252"/>
      <c r="D46" s="237"/>
    </row>
    <row r="47" spans="1:4" s="214" customFormat="1" x14ac:dyDescent="0.55000000000000004">
      <c r="A47" s="238"/>
      <c r="B47" s="238"/>
      <c r="C47" s="253"/>
    </row>
    <row r="48" spans="1:4" s="214" customFormat="1" x14ac:dyDescent="0.55000000000000004">
      <c r="A48" s="238"/>
      <c r="B48" s="238"/>
      <c r="C48" s="253"/>
    </row>
    <row r="49" spans="1:4" x14ac:dyDescent="0.55000000000000004">
      <c r="A49" s="265" t="s">
        <v>301</v>
      </c>
      <c r="B49" s="266"/>
      <c r="C49" s="266"/>
      <c r="D49" s="267"/>
    </row>
    <row r="50" spans="1:4" x14ac:dyDescent="0.55000000000000004">
      <c r="A50" s="226" t="s">
        <v>302</v>
      </c>
      <c r="B50" s="227" t="s">
        <v>303</v>
      </c>
      <c r="C50" s="240"/>
      <c r="D50" s="193"/>
    </row>
    <row r="51" spans="1:4" x14ac:dyDescent="0.55000000000000004">
      <c r="A51" s="226" t="s">
        <v>304</v>
      </c>
      <c r="B51" s="228" t="s">
        <v>305</v>
      </c>
      <c r="C51" s="240"/>
      <c r="D51" s="193"/>
    </row>
    <row r="52" spans="1:4" x14ac:dyDescent="0.55000000000000004">
      <c r="A52" s="268" t="s">
        <v>310</v>
      </c>
      <c r="B52" s="229" t="s">
        <v>306</v>
      </c>
      <c r="C52" s="254" t="s">
        <v>309</v>
      </c>
      <c r="D52" s="193"/>
    </row>
    <row r="53" spans="1:4" x14ac:dyDescent="0.55000000000000004">
      <c r="A53" s="269"/>
      <c r="B53" s="229" t="s">
        <v>307</v>
      </c>
      <c r="C53" s="254" t="s">
        <v>309</v>
      </c>
      <c r="D53" s="193"/>
    </row>
    <row r="54" spans="1:4" x14ac:dyDescent="0.55000000000000004">
      <c r="A54" s="270"/>
      <c r="B54" s="227" t="s">
        <v>308</v>
      </c>
      <c r="C54" s="240"/>
      <c r="D54" s="193"/>
    </row>
    <row r="55" spans="1:4" x14ac:dyDescent="0.55000000000000004">
      <c r="A55" s="226"/>
      <c r="B55" s="226"/>
      <c r="C55" s="240"/>
      <c r="D55" s="193"/>
    </row>
    <row r="56" spans="1:4" x14ac:dyDescent="0.55000000000000004">
      <c r="A56" s="232" t="s">
        <v>311</v>
      </c>
      <c r="B56" s="230" t="s">
        <v>312</v>
      </c>
      <c r="C56" s="240"/>
      <c r="D56" s="193"/>
    </row>
    <row r="57" spans="1:4" x14ac:dyDescent="0.55000000000000004">
      <c r="A57" s="226"/>
      <c r="B57" s="226"/>
      <c r="C57" s="240"/>
      <c r="D57" s="193"/>
    </row>
    <row r="58" spans="1:4" x14ac:dyDescent="0.55000000000000004">
      <c r="A58" s="226"/>
      <c r="B58" s="226"/>
      <c r="C58" s="240"/>
      <c r="D58" s="193"/>
    </row>
    <row r="59" spans="1:4" x14ac:dyDescent="0.55000000000000004">
      <c r="A59" s="226"/>
      <c r="B59" s="226"/>
      <c r="C59" s="240"/>
      <c r="D59" s="193"/>
    </row>
    <row r="60" spans="1:4" x14ac:dyDescent="0.55000000000000004">
      <c r="A60" s="226"/>
      <c r="B60" s="226"/>
      <c r="C60" s="240"/>
      <c r="D60" s="193"/>
    </row>
    <row r="61" spans="1:4" x14ac:dyDescent="0.55000000000000004">
      <c r="A61" s="226"/>
      <c r="B61" s="226"/>
      <c r="C61" s="240"/>
      <c r="D61" s="193"/>
    </row>
    <row r="62" spans="1:4" x14ac:dyDescent="0.55000000000000004">
      <c r="A62" s="226"/>
      <c r="B62" s="226"/>
      <c r="C62" s="240"/>
      <c r="D62" s="193"/>
    </row>
    <row r="63" spans="1:4" x14ac:dyDescent="0.55000000000000004">
      <c r="A63" s="226"/>
      <c r="B63" s="226"/>
      <c r="C63" s="240"/>
      <c r="D63" s="193"/>
    </row>
  </sheetData>
  <mergeCells count="9">
    <mergeCell ref="A49:D49"/>
    <mergeCell ref="A52:A54"/>
    <mergeCell ref="B40:B41"/>
    <mergeCell ref="A40:A41"/>
    <mergeCell ref="A23:A24"/>
    <mergeCell ref="B23:B24"/>
    <mergeCell ref="A26:A31"/>
    <mergeCell ref="B36:B38"/>
    <mergeCell ref="A36:A38"/>
  </mergeCells>
  <conditionalFormatting sqref="B8">
    <cfRule type="containsText" dxfId="45" priority="1" operator="containsText" text="Pathogenic">
      <formula>NOT(ISERROR(SEARCH("Pathogenic",B8)))</formula>
    </cfRule>
    <cfRule type="containsText" dxfId="44" priority="2" operator="containsText" text="Insufficient">
      <formula>NOT(ISERROR(SEARCH("Insufficient",B8)))</formula>
    </cfRule>
    <cfRule type="containsText" dxfId="43" priority="3" operator="containsText" text="Conflicting">
      <formula>NOT(ISERROR(SEARCH("Conflicting",B8)))</formula>
    </cfRule>
    <cfRule type="containsText" dxfId="42" priority="4" operator="containsText" text="Likely benign">
      <formula>NOT(ISERROR(SEARCH("Likely benign",B8)))</formula>
    </cfRule>
    <cfRule type="containsText" dxfId="41" priority="5" operator="containsText" text="Benign">
      <formula>NOT(ISERROR(SEARCH("Benign",B8)))</formula>
    </cfRule>
  </conditionalFormatting>
  <hyperlinks>
    <hyperlink ref="C2" r:id="rId1" xr:uid="{3554600C-826D-4927-8C4C-2C34689DA5FA}"/>
    <hyperlink ref="C4" r:id="rId2" xr:uid="{2C3EC3D6-9506-4A41-A808-019DA13377A1}"/>
    <hyperlink ref="C6" r:id="rId3" xr:uid="{A8A38F74-83ED-43EF-B320-E35FE0DD44D9}"/>
    <hyperlink ref="C7" r:id="rId4" xr:uid="{2A82F242-9CAE-4660-B098-7D30EFB85232}"/>
    <hyperlink ref="C10" r:id="rId5" xr:uid="{425A6214-A53B-446C-B0E0-86F152948824}"/>
    <hyperlink ref="C11" r:id="rId6" xr:uid="{16F8FBE4-CFDA-4EDB-9E6A-87B0AA571FF5}"/>
    <hyperlink ref="C12" r:id="rId7" xr:uid="{D1BBDABA-65CE-4AE2-BF1C-6694C6ACF780}"/>
    <hyperlink ref="C14" r:id="rId8" xr:uid="{ABB9194C-3311-444D-8E7A-D87A45E2D4A0}"/>
    <hyperlink ref="C15" r:id="rId9" xr:uid="{E5EECF3A-5681-4680-9010-FC623663B031}"/>
    <hyperlink ref="C16" r:id="rId10" xr:uid="{D68718F8-8140-4A77-9A13-E59EF477D60F}"/>
    <hyperlink ref="C17" r:id="rId11" xr:uid="{22816197-6A07-49CC-9BF6-85E9AB37A0F5}"/>
    <hyperlink ref="C18" r:id="rId12" display="http://beacon.prism-genomics.org" xr:uid="{1B7A7F31-204B-4056-9961-A1C69A4C6ACD}"/>
    <hyperlink ref="C21" r:id="rId13" xr:uid="{147612F1-1F9F-4EC9-BBBD-FC5BB1253C75}"/>
    <hyperlink ref="C22" r:id="rId14" xr:uid="{7352BA17-F5A3-4427-BAF4-4C18F7FFF74F}"/>
    <hyperlink ref="C23" r:id="rId15" xr:uid="{0CE002A3-2F60-4F83-9091-1329ED5A7D9D}"/>
    <hyperlink ref="C24" r:id="rId16" xr:uid="{B0D5B87E-44EC-4887-B19E-ABF9B6086E2C}"/>
    <hyperlink ref="C26" r:id="rId17" display="http://agvgd.hci.utah.edu/index.php" xr:uid="{E855555D-6D28-4290-B3FC-54F0BF726E73}"/>
    <hyperlink ref="C27" r:id="rId18" xr:uid="{0B7A7FDF-E92B-4106-8EB3-1507D1747348}"/>
    <hyperlink ref="C28" r:id="rId19" display="http://genetics.bwh.harvard.edu/pph2/" xr:uid="{7240C02E-C822-4464-A61B-B327C2A93F3F}"/>
    <hyperlink ref="C29" r:id="rId20" display="http://provean.jcvi.org/index.php" xr:uid="{540F8C53-490A-45F8-8A59-E960EE2B5B88}"/>
    <hyperlink ref="C30" r:id="rId21" xr:uid="{D92FF897-A367-4EEB-8203-F1BD2A85E340}"/>
    <hyperlink ref="C33" r:id="rId22" xr:uid="{47B5F2FB-6240-496A-A7DB-A3EDC8EF33A6}"/>
    <hyperlink ref="C34" r:id="rId23" xr:uid="{3A4EDDB7-473E-44E2-8AE0-6C908E0A9F30}"/>
    <hyperlink ref="C36" r:id="rId24" xr:uid="{42E3063A-29F4-43E3-B245-F1EA9D4E6CDE}"/>
    <hyperlink ref="C38" r:id="rId25" xr:uid="{529B3079-0C67-4DB7-B4F5-77CEFB24E1B8}"/>
    <hyperlink ref="C37" r:id="rId26" xr:uid="{F3ABFC5D-CDB2-4869-9D0E-4B9F1A4622AE}"/>
    <hyperlink ref="C40" r:id="rId27" xr:uid="{0EA8F477-446C-4C92-9B94-8202B11ED26E}"/>
    <hyperlink ref="C41" r:id="rId28" xr:uid="{078EE65D-4AEC-42CE-AE93-41B13CA3935D}"/>
    <hyperlink ref="B50" r:id="rId29" xr:uid="{20588D7E-E9F3-4EF5-9030-CD5764E94827}"/>
    <hyperlink ref="B51" r:id="rId30" xr:uid="{C74479BE-B4E7-4131-ABDC-FFCB5FCE85BB}"/>
    <hyperlink ref="B52" r:id="rId31" xr:uid="{43CAD3DE-717E-40B4-B654-F2E1BFA2F723}"/>
    <hyperlink ref="B53" r:id="rId32" xr:uid="{EA3DC507-D724-48C2-986C-83F1BABE281D}"/>
    <hyperlink ref="B54" r:id="rId33" xr:uid="{60799CD1-7204-41CE-945C-F7F38055260F}"/>
    <hyperlink ref="B56" r:id="rId34" xr:uid="{E4A364C3-B200-42CF-9CED-55CB61E4804B}"/>
    <hyperlink ref="C31" r:id="rId35" xr:uid="{DB36BEB5-0D62-426C-B586-84AD423CC6B8}"/>
    <hyperlink ref="C5" r:id="rId36" xr:uid="{64EA42AF-C251-46EC-967E-4B6E7A85800B}"/>
  </hyperlinks>
  <pageMargins left="0.7" right="0.7" top="0.75" bottom="0.75" header="0.3" footer="0.3"/>
  <pageSetup paperSize="9" orientation="portrait" r:id="rId37"/>
  <legacyDrawing r:id="rId3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M62"/>
  <sheetViews>
    <sheetView showGridLines="0" showRowColHeaders="0" zoomScale="80" zoomScaleNormal="80" zoomScaleSheetLayoutView="100" workbookViewId="0">
      <pane xSplit="1" ySplit="7" topLeftCell="B8" activePane="bottomRight" state="frozen"/>
      <selection activeCell="B56" sqref="B56"/>
      <selection pane="topRight" activeCell="B56" sqref="B56"/>
      <selection pane="bottomLeft" activeCell="B56" sqref="B56"/>
      <selection pane="bottomRight" activeCell="D2" sqref="D2:F2"/>
    </sheetView>
  </sheetViews>
  <sheetFormatPr defaultColWidth="9.15625" defaultRowHeight="12.3" x14ac:dyDescent="0.2"/>
  <cols>
    <col min="1" max="1" width="8.26171875" style="5" customWidth="1"/>
    <col min="2" max="2" width="25.578125" style="27" customWidth="1"/>
    <col min="3" max="3" width="3.68359375" style="18" customWidth="1"/>
    <col min="4" max="4" width="27.26171875" style="27" customWidth="1"/>
    <col min="5" max="5" width="3.68359375" style="18" customWidth="1"/>
    <col min="6" max="6" width="26.26171875" style="27" customWidth="1"/>
    <col min="7" max="7" width="3.68359375" style="18" customWidth="1"/>
    <col min="8" max="8" width="28.15625" style="27" customWidth="1"/>
    <col min="9" max="9" width="3.68359375" style="18" customWidth="1"/>
    <col min="10" max="10" width="26.578125" style="27" customWidth="1"/>
    <col min="11" max="11" width="3.68359375" style="18" customWidth="1"/>
    <col min="12" max="12" width="22.578125" style="27" customWidth="1"/>
    <col min="13" max="13" width="3.68359375" style="18" customWidth="1"/>
    <col min="14" max="16" width="10.68359375" style="2" customWidth="1"/>
    <col min="17" max="16384" width="9.15625" style="2"/>
  </cols>
  <sheetData>
    <row r="1" spans="1:13" ht="10" customHeight="1" thickBot="1" x14ac:dyDescent="0.25">
      <c r="A1" s="55"/>
      <c r="B1" s="56"/>
      <c r="C1" s="57"/>
      <c r="D1" s="56"/>
      <c r="E1" s="57"/>
      <c r="F1" s="56"/>
      <c r="G1" s="57"/>
      <c r="H1" s="56"/>
      <c r="I1" s="57"/>
      <c r="J1" s="56"/>
      <c r="K1" s="57"/>
      <c r="L1" s="56"/>
      <c r="M1" s="57"/>
    </row>
    <row r="2" spans="1:13" ht="25" customHeight="1" thickBot="1" x14ac:dyDescent="0.25">
      <c r="A2" s="55"/>
      <c r="B2" s="58" t="s">
        <v>143</v>
      </c>
      <c r="C2" s="59"/>
      <c r="D2" s="300" t="s">
        <v>144</v>
      </c>
      <c r="E2" s="300"/>
      <c r="F2" s="300"/>
      <c r="G2" s="57"/>
      <c r="H2" s="60" t="s">
        <v>92</v>
      </c>
      <c r="I2" s="57"/>
      <c r="J2" s="306" t="str">
        <f>IF(A25="Pathogenic (Ia)","Pathogenic (Ia)",IF(A26="Pathogenic (Ib)","Pathogenic (Ib)",IF(A27="Pathogenic (Ic)","Pathogenic (Ic)",IF(A28="Pathogenic (Id)","Pathogenic (Id)",IF(A29="Pathogenic (II)","Pathogenic (II)",IF(A30="Pathogenic (IIIa)","Pathogenic (IIIa)",IF(A31="Pathogenic (IIIb)","Pathogenic (IIIb)",IF(A32="Pathogenic (IIIc)","Pathogenic (IIIc)",IF(A33="Likely Pathogenic (I)","Likely Pathogenic (I)",IF(A34="Likely Pathogenic (II)","Likely Pathogenic (II)",IF(A35="Likely Pathogenic (III)","Likely Pathogenic (III)",IF(A36="Likely Pathogenic (IV)","Likely Pathogenic (IV)",IF(A37="Likely Pathogenic (V)","Likely Pathogenic (V)",IF(A38="Likely Pathogenic (VI)","Likely Pathogenic (VI)",IF(A39="VUS - Insufficient evidence","VUS - Insufficient evidence",IF(A40="VUS - Conflicting evidence","VUS - Conflicting evidence",IF(A41="Likely Benign (I)","Likely Benign (I)",IF(A42="Likely Benign (II)","Likely Benign (II)",IF(A43="Benign (I)","Benign (I)",IF(A44="Benign (II)","Benign (II)"))))))))))))))))))))</f>
        <v>VUS - Insufficient evidence</v>
      </c>
      <c r="K2" s="307"/>
      <c r="L2" s="308"/>
      <c r="M2" s="57"/>
    </row>
    <row r="3" spans="1:13" ht="10" customHeight="1" x14ac:dyDescent="0.2">
      <c r="A3" s="61"/>
      <c r="B3" s="62"/>
      <c r="C3" s="63"/>
      <c r="D3" s="62"/>
      <c r="E3" s="63"/>
      <c r="F3" s="62"/>
      <c r="G3" s="63"/>
      <c r="H3" s="62"/>
      <c r="I3" s="63"/>
      <c r="J3" s="62"/>
      <c r="K3" s="63"/>
      <c r="L3" s="62"/>
      <c r="M3" s="63"/>
    </row>
    <row r="4" spans="1:13" s="32" customFormat="1" ht="23.1" customHeight="1" thickBot="1" x14ac:dyDescent="0.25">
      <c r="A4" s="64"/>
      <c r="B4" s="65" t="s">
        <v>117</v>
      </c>
      <c r="C4" s="59"/>
      <c r="D4" s="301" t="str">
        <f>IF(J2="Pathogenic (Ia)","PVS + PS (+ PS)",IF(J2="Pathogenic (Ib)","PVS + PM + PM (+ PM)",IF(J2="Pathogenic (Ic)","PVS + PM + PP",IF(J2="Pathogenic (Id)","PVS + PP + PP (+ PP)",IF(J2="Pathogenic (II)","PS + PS (+ PS)",IF(J2="Pathogenic (IIIa)","PS + PM + PM + PM (+ PM)",IF(J2="Pathogenic (IIIb)","PS + PM + PM + PP + PP (+ PP)",IF(J2="Pathogenic (IIIc)","PS + PM + PP + PP + PP + PP (+ PP)",IF(J2="Likely Pathogenic (I)","PVS + PM",IF(J2="Likely Pathogenic (II)","PS + PM (+ PM)",IF(J2="Likely Pathogenic (III)","PS + PP + PP (+ PP)",IF(J2="Likely Pathogenic (IV)","PM + PM + PM (+ PM)",IF(J2="Likely Pathogenic (V)","PM + PM + PP + PP (+ PP)",IF(J2="Likely Pathogenic (VI)","PM + PP + PP + PP + PP (+ PP)",IF(J2="VUS - Insufficient evidence","Insufficient evidence",IF(J2="VUS - Conflicting evidence","Conflicting evidence",IF(J2="Likely Benign (I)","BS + BP",IF(J2="Likely Benign (II)","BP + BP (+ BP)",IF(J2="Benign (I)","BA1",IF(J2="Benign (II)","BS + BS (+ BS)"))))))))))))))))))))</f>
        <v>Insufficient evidence</v>
      </c>
      <c r="E4" s="301"/>
      <c r="F4" s="301"/>
      <c r="G4" s="66"/>
      <c r="H4" s="156" t="s">
        <v>178</v>
      </c>
      <c r="I4" s="66"/>
      <c r="J4" s="162" t="s">
        <v>176</v>
      </c>
      <c r="K4" s="67"/>
      <c r="L4" s="164"/>
      <c r="M4" s="68"/>
    </row>
    <row r="5" spans="1:13" ht="10" customHeight="1" thickBot="1" x14ac:dyDescent="0.25">
      <c r="A5" s="60"/>
      <c r="B5" s="60"/>
      <c r="C5" s="60"/>
      <c r="D5" s="69"/>
      <c r="E5" s="69"/>
      <c r="F5" s="69"/>
      <c r="G5" s="63"/>
      <c r="H5" s="62"/>
      <c r="I5" s="63"/>
      <c r="J5" s="62"/>
      <c r="K5" s="63"/>
      <c r="L5" s="62"/>
      <c r="M5" s="63"/>
    </row>
    <row r="6" spans="1:13" s="17" customFormat="1" ht="18.75" customHeight="1" x14ac:dyDescent="0.55000000000000004">
      <c r="A6" s="289"/>
      <c r="B6" s="285" t="s">
        <v>5</v>
      </c>
      <c r="C6" s="286"/>
      <c r="D6" s="286"/>
      <c r="E6" s="287"/>
      <c r="F6" s="285" t="s">
        <v>0</v>
      </c>
      <c r="G6" s="286"/>
      <c r="H6" s="286"/>
      <c r="I6" s="286"/>
      <c r="J6" s="286"/>
      <c r="K6" s="286"/>
      <c r="L6" s="286"/>
      <c r="M6" s="287"/>
    </row>
    <row r="7" spans="1:13" ht="18" customHeight="1" thickBot="1" x14ac:dyDescent="0.6">
      <c r="A7" s="290"/>
      <c r="B7" s="296" t="s">
        <v>1</v>
      </c>
      <c r="C7" s="297"/>
      <c r="D7" s="294" t="s">
        <v>4</v>
      </c>
      <c r="E7" s="295"/>
      <c r="F7" s="292" t="s">
        <v>4</v>
      </c>
      <c r="G7" s="293"/>
      <c r="H7" s="291" t="s">
        <v>3</v>
      </c>
      <c r="I7" s="291"/>
      <c r="J7" s="303" t="s">
        <v>1</v>
      </c>
      <c r="K7" s="303"/>
      <c r="L7" s="304" t="s">
        <v>95</v>
      </c>
      <c r="M7" s="305"/>
    </row>
    <row r="8" spans="1:13" ht="43.5" customHeight="1" x14ac:dyDescent="0.2">
      <c r="A8" s="288" t="s">
        <v>104</v>
      </c>
      <c r="B8" s="88" t="s">
        <v>148</v>
      </c>
      <c r="C8" s="130" t="b">
        <v>0</v>
      </c>
      <c r="D8" s="89"/>
      <c r="E8" s="139"/>
      <c r="F8" s="90" t="s">
        <v>147</v>
      </c>
      <c r="G8" s="147" t="b">
        <v>0</v>
      </c>
      <c r="H8" s="91" t="s">
        <v>163</v>
      </c>
      <c r="I8" s="152" t="b">
        <v>0</v>
      </c>
      <c r="J8" s="313" t="s">
        <v>171</v>
      </c>
      <c r="K8" s="152" t="b">
        <v>0</v>
      </c>
      <c r="L8" s="92"/>
      <c r="M8" s="139"/>
    </row>
    <row r="9" spans="1:13" ht="32.1" customHeight="1" x14ac:dyDescent="0.2">
      <c r="A9" s="288"/>
      <c r="B9" s="93" t="s">
        <v>149</v>
      </c>
      <c r="C9" s="131" t="b">
        <v>0</v>
      </c>
      <c r="D9" s="89"/>
      <c r="E9" s="139"/>
      <c r="F9" s="94"/>
      <c r="G9" s="134"/>
      <c r="H9" s="91"/>
      <c r="I9" s="148"/>
      <c r="J9" s="314"/>
      <c r="K9" s="148"/>
      <c r="L9" s="92"/>
      <c r="M9" s="139"/>
    </row>
    <row r="10" spans="1:13" ht="45" customHeight="1" thickBot="1" x14ac:dyDescent="0.25">
      <c r="A10" s="284"/>
      <c r="B10" s="95" t="s">
        <v>150</v>
      </c>
      <c r="C10" s="132" t="b">
        <v>0</v>
      </c>
      <c r="D10" s="96"/>
      <c r="E10" s="140"/>
      <c r="F10" s="97"/>
      <c r="G10" s="135"/>
      <c r="H10" s="98"/>
      <c r="I10" s="149"/>
      <c r="J10" s="99"/>
      <c r="K10" s="149"/>
      <c r="L10" s="100"/>
      <c r="M10" s="140"/>
    </row>
    <row r="11" spans="1:13" ht="55" customHeight="1" x14ac:dyDescent="0.2">
      <c r="A11" s="283" t="s">
        <v>101</v>
      </c>
      <c r="B11" s="101"/>
      <c r="C11" s="133"/>
      <c r="D11" s="102" t="s">
        <v>152</v>
      </c>
      <c r="E11" s="141" t="b">
        <v>0</v>
      </c>
      <c r="F11" s="309" t="s">
        <v>170</v>
      </c>
      <c r="G11" s="136" t="b">
        <v>0</v>
      </c>
      <c r="H11" s="315" t="s">
        <v>173</v>
      </c>
      <c r="I11" s="318" t="b">
        <v>0</v>
      </c>
      <c r="J11" s="313" t="s">
        <v>172</v>
      </c>
      <c r="K11" s="136" t="b">
        <v>0</v>
      </c>
      <c r="L11" s="321" t="s">
        <v>174</v>
      </c>
      <c r="M11" s="145" t="b">
        <v>0</v>
      </c>
    </row>
    <row r="12" spans="1:13" ht="42" customHeight="1" x14ac:dyDescent="0.2">
      <c r="A12" s="288"/>
      <c r="B12" s="103"/>
      <c r="C12" s="134"/>
      <c r="D12" s="104" t="s">
        <v>153</v>
      </c>
      <c r="E12" s="142" t="b">
        <v>0</v>
      </c>
      <c r="F12" s="310"/>
      <c r="G12" s="148"/>
      <c r="H12" s="316"/>
      <c r="I12" s="319"/>
      <c r="J12" s="314"/>
      <c r="K12" s="148"/>
      <c r="L12" s="322"/>
      <c r="M12" s="153"/>
    </row>
    <row r="13" spans="1:13" ht="36" customHeight="1" x14ac:dyDescent="0.2">
      <c r="A13" s="288"/>
      <c r="B13" s="103"/>
      <c r="C13" s="134"/>
      <c r="D13" s="104" t="s">
        <v>154</v>
      </c>
      <c r="E13" s="142" t="b">
        <v>0</v>
      </c>
      <c r="F13" s="106"/>
      <c r="G13" s="148"/>
      <c r="H13" s="317"/>
      <c r="I13" s="320"/>
      <c r="J13" s="314"/>
      <c r="K13" s="148"/>
      <c r="L13" s="105"/>
      <c r="M13" s="153"/>
    </row>
    <row r="14" spans="1:13" ht="36" customHeight="1" thickBot="1" x14ac:dyDescent="0.25">
      <c r="A14" s="284"/>
      <c r="B14" s="107"/>
      <c r="C14" s="135"/>
      <c r="D14" s="108" t="s">
        <v>155</v>
      </c>
      <c r="E14" s="143" t="b">
        <v>0</v>
      </c>
      <c r="F14" s="109"/>
      <c r="G14" s="149"/>
      <c r="H14" s="110" t="s">
        <v>164</v>
      </c>
      <c r="I14" s="131" t="b">
        <v>0</v>
      </c>
      <c r="J14" s="99"/>
      <c r="K14" s="149"/>
      <c r="L14" s="111"/>
      <c r="M14" s="154"/>
    </row>
    <row r="15" spans="1:13" ht="58" customHeight="1" thickBot="1" x14ac:dyDescent="0.25">
      <c r="A15" s="31" t="s">
        <v>103</v>
      </c>
      <c r="B15" s="112" t="s">
        <v>177</v>
      </c>
      <c r="C15" s="136" t="b">
        <v>0</v>
      </c>
      <c r="D15" s="113"/>
      <c r="E15" s="144"/>
      <c r="F15" s="114" t="s">
        <v>160</v>
      </c>
      <c r="G15" s="136" t="b">
        <v>0</v>
      </c>
      <c r="H15" s="115" t="s">
        <v>165</v>
      </c>
      <c r="I15" s="136" t="b">
        <v>0</v>
      </c>
      <c r="J15" s="116" t="s">
        <v>168</v>
      </c>
      <c r="K15" s="136" t="b">
        <v>0</v>
      </c>
      <c r="L15" s="117"/>
      <c r="M15" s="155"/>
    </row>
    <row r="16" spans="1:13" ht="56.1" customHeight="1" thickBot="1" x14ac:dyDescent="0.25">
      <c r="A16" s="31" t="s">
        <v>102</v>
      </c>
      <c r="B16" s="112" t="s">
        <v>151</v>
      </c>
      <c r="C16" s="136" t="b">
        <v>0</v>
      </c>
      <c r="D16" s="113"/>
      <c r="E16" s="144"/>
      <c r="F16" s="114" t="s">
        <v>161</v>
      </c>
      <c r="G16" s="136" t="b">
        <v>0</v>
      </c>
      <c r="H16" s="115" t="s">
        <v>96</v>
      </c>
      <c r="I16" s="136" t="b">
        <v>0</v>
      </c>
      <c r="J16" s="116" t="s">
        <v>96</v>
      </c>
      <c r="K16" s="136" t="b">
        <v>0</v>
      </c>
      <c r="L16" s="117"/>
      <c r="M16" s="155"/>
    </row>
    <row r="17" spans="1:13" ht="36" customHeight="1" thickBot="1" x14ac:dyDescent="0.25">
      <c r="A17" s="31" t="s">
        <v>97</v>
      </c>
      <c r="B17" s="118"/>
      <c r="C17" s="133"/>
      <c r="D17" s="119"/>
      <c r="E17" s="144"/>
      <c r="F17" s="118"/>
      <c r="G17" s="133"/>
      <c r="H17" s="115" t="s">
        <v>166</v>
      </c>
      <c r="I17" s="136" t="b">
        <v>0</v>
      </c>
      <c r="J17" s="116" t="s">
        <v>169</v>
      </c>
      <c r="K17" s="136" t="b">
        <v>0</v>
      </c>
      <c r="L17" s="117"/>
      <c r="M17" s="155"/>
    </row>
    <row r="18" spans="1:13" ht="35.1" customHeight="1" x14ac:dyDescent="0.2">
      <c r="A18" s="283" t="s">
        <v>98</v>
      </c>
      <c r="B18" s="101"/>
      <c r="C18" s="133"/>
      <c r="D18" s="102" t="s">
        <v>156</v>
      </c>
      <c r="E18" s="141" t="b">
        <v>0</v>
      </c>
      <c r="F18" s="298" t="s">
        <v>146</v>
      </c>
      <c r="G18" s="150" t="b">
        <v>0</v>
      </c>
      <c r="H18" s="311" t="s">
        <v>167</v>
      </c>
      <c r="I18" s="136" t="b">
        <v>0</v>
      </c>
      <c r="J18" s="120"/>
      <c r="K18" s="133"/>
      <c r="L18" s="117"/>
      <c r="M18" s="144"/>
    </row>
    <row r="19" spans="1:13" ht="35.1" customHeight="1" thickBot="1" x14ac:dyDescent="0.25">
      <c r="A19" s="284"/>
      <c r="B19" s="107"/>
      <c r="C19" s="135"/>
      <c r="D19" s="108" t="s">
        <v>157</v>
      </c>
      <c r="E19" s="143" t="b">
        <v>0</v>
      </c>
      <c r="F19" s="299"/>
      <c r="G19" s="135"/>
      <c r="H19" s="312"/>
      <c r="I19" s="149"/>
      <c r="J19" s="121"/>
      <c r="K19" s="135"/>
      <c r="L19" s="100"/>
      <c r="M19" s="140"/>
    </row>
    <row r="20" spans="1:13" ht="55" customHeight="1" thickBot="1" x14ac:dyDescent="0.25">
      <c r="A20" s="31" t="s">
        <v>99</v>
      </c>
      <c r="B20" s="112"/>
      <c r="C20" s="137"/>
      <c r="D20" s="122" t="s">
        <v>158</v>
      </c>
      <c r="E20" s="145" t="b">
        <v>0</v>
      </c>
      <c r="F20" s="114" t="s">
        <v>175</v>
      </c>
      <c r="G20" s="136" t="b">
        <v>0</v>
      </c>
      <c r="H20" s="123"/>
      <c r="I20" s="133"/>
      <c r="J20" s="120"/>
      <c r="K20" s="133"/>
      <c r="L20" s="117"/>
      <c r="M20" s="155"/>
    </row>
    <row r="21" spans="1:13" ht="42" customHeight="1" thickBot="1" x14ac:dyDescent="0.25">
      <c r="A21" s="31" t="s">
        <v>100</v>
      </c>
      <c r="B21" s="124"/>
      <c r="C21" s="138"/>
      <c r="D21" s="125" t="s">
        <v>159</v>
      </c>
      <c r="E21" s="146" t="b">
        <v>0</v>
      </c>
      <c r="F21" s="126" t="s">
        <v>162</v>
      </c>
      <c r="G21" s="151" t="b">
        <v>0</v>
      </c>
      <c r="H21" s="127"/>
      <c r="I21" s="138"/>
      <c r="J21" s="128"/>
      <c r="K21" s="138"/>
      <c r="L21" s="129"/>
      <c r="M21" s="155"/>
    </row>
    <row r="22" spans="1:13" s="1" customFormat="1" ht="12.75" customHeight="1" x14ac:dyDescent="0.3">
      <c r="B22" s="302"/>
      <c r="C22" s="302"/>
      <c r="D22" s="302"/>
      <c r="E22" s="302"/>
      <c r="F22" s="302"/>
      <c r="G22" s="302"/>
      <c r="H22" s="302"/>
      <c r="I22" s="302"/>
      <c r="J22" s="302"/>
      <c r="K22" s="302"/>
      <c r="L22" s="302"/>
      <c r="M22" s="302"/>
    </row>
    <row r="23" spans="1:13" s="22" customFormat="1" hidden="1" x14ac:dyDescent="0.55000000000000004">
      <c r="A23" s="21"/>
      <c r="B23" s="26"/>
      <c r="C23" s="20">
        <f>COUNTIF(C8:C21,TRUE)</f>
        <v>0</v>
      </c>
      <c r="D23" s="26"/>
      <c r="E23" s="20">
        <f>COUNTIF(E8:E21,TRUE)</f>
        <v>0</v>
      </c>
      <c r="F23" s="26"/>
      <c r="G23" s="20">
        <f>COUNTIF(G8:G21,TRUE)</f>
        <v>0</v>
      </c>
      <c r="H23" s="26"/>
      <c r="I23" s="20">
        <f>COUNTIF(I8:I21,TRUE)</f>
        <v>0</v>
      </c>
      <c r="J23" s="26"/>
      <c r="K23" s="20">
        <f>COUNTIF(K8:K21,TRUE)</f>
        <v>0</v>
      </c>
      <c r="L23" s="26"/>
      <c r="M23" s="20">
        <f>COUNTIF(M8:M21,TRUE)</f>
        <v>0</v>
      </c>
    </row>
    <row r="24" spans="1:13" s="22" customFormat="1" hidden="1" x14ac:dyDescent="0.2">
      <c r="A24" s="21"/>
      <c r="B24" s="26"/>
      <c r="C24" s="19"/>
      <c r="D24" s="26"/>
      <c r="E24" s="19"/>
      <c r="F24" s="26"/>
      <c r="G24" s="19"/>
      <c r="H24" s="26"/>
      <c r="I24" s="19"/>
      <c r="J24" s="26"/>
      <c r="K24" s="19"/>
      <c r="L24" s="26"/>
      <c r="M24" s="19"/>
    </row>
    <row r="25" spans="1:13" s="22" customFormat="1" hidden="1" x14ac:dyDescent="0.2">
      <c r="A25" s="29" t="str">
        <f>IF(AND(A40=" ",M23=1,K23&gt;=1),"Pathogenic (Ia)"," ")</f>
        <v xml:space="preserve"> </v>
      </c>
      <c r="B25" s="26"/>
      <c r="C25" s="23" t="s">
        <v>8</v>
      </c>
      <c r="D25" s="26"/>
      <c r="E25" s="24" t="s">
        <v>85</v>
      </c>
      <c r="F25" s="26"/>
      <c r="G25" s="19"/>
      <c r="H25" s="26"/>
      <c r="I25" s="19"/>
      <c r="J25" s="26"/>
      <c r="K25" s="19"/>
      <c r="L25" s="26"/>
      <c r="M25" s="19"/>
    </row>
    <row r="26" spans="1:13" s="22" customFormat="1" hidden="1" x14ac:dyDescent="0.2">
      <c r="A26" s="29" t="str">
        <f>IF((AND(A40=" ",A25=" ",M23=1,I23&gt;=2)),"Pathogenic (Ib)"," ")</f>
        <v xml:space="preserve"> </v>
      </c>
      <c r="B26" s="26"/>
      <c r="C26" s="23" t="s">
        <v>13</v>
      </c>
      <c r="D26" s="26"/>
      <c r="E26" s="24" t="s">
        <v>86</v>
      </c>
      <c r="F26" s="26"/>
      <c r="G26" s="19"/>
      <c r="H26" s="26"/>
      <c r="I26" s="19"/>
      <c r="J26" s="26"/>
      <c r="K26" s="19"/>
      <c r="L26" s="26"/>
      <c r="M26" s="19"/>
    </row>
    <row r="27" spans="1:13" s="22" customFormat="1" hidden="1" x14ac:dyDescent="0.2">
      <c r="A27" s="29" t="str">
        <f>IF((AND(A40=" ",A25=" ",M23=1,I23=1,G23=1)),"Pathogenic (Ic)"," ")</f>
        <v xml:space="preserve"> </v>
      </c>
      <c r="B27" s="26"/>
      <c r="C27" s="23" t="s">
        <v>14</v>
      </c>
      <c r="D27" s="26"/>
      <c r="E27" s="24" t="s">
        <v>87</v>
      </c>
      <c r="F27" s="26"/>
      <c r="G27" s="19"/>
      <c r="H27" s="26"/>
      <c r="I27" s="19"/>
      <c r="J27" s="26"/>
      <c r="K27" s="19"/>
      <c r="L27" s="26"/>
      <c r="M27" s="19"/>
    </row>
    <row r="28" spans="1:13" s="22" customFormat="1" hidden="1" x14ac:dyDescent="0.2">
      <c r="A28" s="29" t="str">
        <f>IF((AND(A40=" ",A25=" ",A26=" ",M23=1,G23&gt;=2)),"Pathogenic (Id)"," ")</f>
        <v xml:space="preserve"> </v>
      </c>
      <c r="B28" s="26"/>
      <c r="C28" s="23" t="s">
        <v>15</v>
      </c>
      <c r="D28" s="26"/>
      <c r="E28" s="24" t="s">
        <v>88</v>
      </c>
      <c r="F28" s="26"/>
      <c r="G28" s="19"/>
      <c r="H28" s="26"/>
      <c r="I28" s="19"/>
      <c r="J28" s="26"/>
      <c r="K28" s="19"/>
      <c r="L28" s="26"/>
      <c r="M28" s="19"/>
    </row>
    <row r="29" spans="1:13" s="22" customFormat="1" hidden="1" x14ac:dyDescent="0.2">
      <c r="A29" s="29" t="str">
        <f>IF(AND(A40=" ",A25=" ",K23&gt;=2),"Pathogenic (II)"," ")</f>
        <v xml:space="preserve"> </v>
      </c>
      <c r="B29" s="26"/>
      <c r="C29" s="23" t="s">
        <v>16</v>
      </c>
      <c r="D29" s="26"/>
      <c r="E29" s="24" t="s">
        <v>7</v>
      </c>
      <c r="F29" s="26"/>
      <c r="G29" s="19"/>
      <c r="H29" s="26"/>
      <c r="I29" s="19"/>
      <c r="J29" s="26"/>
      <c r="K29" s="19"/>
      <c r="L29" s="26"/>
      <c r="M29" s="19"/>
    </row>
    <row r="30" spans="1:13" s="22" customFormat="1" hidden="1" x14ac:dyDescent="0.2">
      <c r="A30" s="29" t="str">
        <f>IF((AND(A40=" ",A25=" ",K23=1,I23&gt;=3)),"Pathogenic (IIIa)"," ")</f>
        <v xml:space="preserve"> </v>
      </c>
      <c r="B30" s="26"/>
      <c r="C30" s="23" t="s">
        <v>17</v>
      </c>
      <c r="D30" s="26"/>
      <c r="E30" s="24" t="s">
        <v>89</v>
      </c>
      <c r="F30" s="26"/>
      <c r="G30" s="19"/>
      <c r="H30" s="26"/>
      <c r="I30" s="19"/>
      <c r="J30" s="26"/>
      <c r="K30" s="19"/>
      <c r="L30" s="26"/>
      <c r="M30" s="19"/>
    </row>
    <row r="31" spans="1:13" s="22" customFormat="1" hidden="1" x14ac:dyDescent="0.2">
      <c r="A31" s="29" t="str">
        <f>IF((AND(A40=" ",A25=" ",A30=" ",K23=1,I23=2,G23&gt;=2)),"Pathogenic (IIIb)"," ")</f>
        <v xml:space="preserve"> </v>
      </c>
      <c r="B31" s="26"/>
      <c r="C31" s="23" t="s">
        <v>18</v>
      </c>
      <c r="D31" s="26"/>
      <c r="E31" s="24" t="s">
        <v>90</v>
      </c>
      <c r="F31" s="26"/>
      <c r="G31" s="19"/>
      <c r="H31" s="26"/>
      <c r="I31" s="19"/>
      <c r="J31" s="26"/>
      <c r="K31" s="19"/>
      <c r="L31" s="26"/>
      <c r="M31" s="19"/>
    </row>
    <row r="32" spans="1:13" s="22" customFormat="1" hidden="1" x14ac:dyDescent="0.2">
      <c r="A32" s="29" t="str">
        <f>IF((AND(A40=" ",A25=" ",K23=1,I23=1,G23&gt;=4)),"Pathogenic (IIIc)"," ")</f>
        <v xml:space="preserve"> </v>
      </c>
      <c r="B32" s="26"/>
      <c r="C32" s="23" t="s">
        <v>19</v>
      </c>
      <c r="D32" s="26"/>
      <c r="E32" s="24" t="s">
        <v>91</v>
      </c>
      <c r="F32" s="26"/>
      <c r="G32" s="19"/>
      <c r="H32" s="26"/>
      <c r="I32" s="19"/>
      <c r="J32" s="26"/>
      <c r="K32" s="19"/>
      <c r="L32" s="26"/>
      <c r="M32" s="19"/>
    </row>
    <row r="33" spans="1:13" s="22" customFormat="1" hidden="1" x14ac:dyDescent="0.2">
      <c r="A33" s="29" t="str">
        <f>IF((AND(A40=" ",A25=" ",A26=" ",A28=" ",M23=1,I23=1)),"Likely Pathogenic (I)"," ")</f>
        <v xml:space="preserve"> </v>
      </c>
      <c r="B33" s="26"/>
      <c r="C33" s="23" t="s">
        <v>9</v>
      </c>
      <c r="D33" s="26"/>
      <c r="E33" s="24" t="s">
        <v>23</v>
      </c>
      <c r="F33" s="26"/>
      <c r="G33" s="19"/>
      <c r="H33" s="26"/>
      <c r="I33" s="19"/>
      <c r="J33" s="26"/>
      <c r="K33" s="19"/>
      <c r="L33" s="26"/>
      <c r="M33" s="19"/>
    </row>
    <row r="34" spans="1:13" s="22" customFormat="1" hidden="1" x14ac:dyDescent="0.2">
      <c r="A34" s="29" t="str">
        <f>IF((AND(A40=" ",A25=" ",K23=1,I23&gt;0,I23&lt;=2)),"Likely Pathogenic (II)"," ")</f>
        <v xml:space="preserve"> </v>
      </c>
      <c r="B34" s="26"/>
      <c r="C34" s="23" t="s">
        <v>20</v>
      </c>
      <c r="D34" s="26"/>
      <c r="E34" s="24" t="s">
        <v>24</v>
      </c>
      <c r="F34" s="26"/>
      <c r="G34" s="19"/>
      <c r="H34" s="26"/>
      <c r="I34" s="19"/>
      <c r="J34" s="26"/>
      <c r="K34" s="19"/>
      <c r="L34" s="26"/>
      <c r="M34" s="19"/>
    </row>
    <row r="35" spans="1:13" s="22" customFormat="1" hidden="1" x14ac:dyDescent="0.2">
      <c r="A35" s="29" t="str">
        <f>IF((AND(A40=" ",A25=" ",A27=" ",A28=" ",A31=" ",A34=" ",K23=1,G23&gt;=2)),"Likely Pathogenic (III)"," ")</f>
        <v xml:space="preserve"> </v>
      </c>
      <c r="B35" s="26"/>
      <c r="C35" s="23" t="s">
        <v>11</v>
      </c>
      <c r="D35" s="26"/>
      <c r="E35" s="24" t="s">
        <v>25</v>
      </c>
      <c r="F35" s="26"/>
      <c r="G35" s="19"/>
      <c r="H35" s="26"/>
      <c r="I35" s="19"/>
      <c r="J35" s="26"/>
      <c r="K35" s="19"/>
      <c r="L35" s="26"/>
      <c r="M35" s="19"/>
    </row>
    <row r="36" spans="1:13" s="22" customFormat="1" hidden="1" x14ac:dyDescent="0.2">
      <c r="A36" s="29" t="str">
        <f>IF((AND(A40=" ",A25=" ",A26=" ",A27=" ",A28=" ",I23&gt;=3)),"Likely Pathogenic (IV)"," ")</f>
        <v xml:space="preserve"> </v>
      </c>
      <c r="B36" s="26"/>
      <c r="C36" s="23" t="s">
        <v>21</v>
      </c>
      <c r="D36" s="26"/>
      <c r="E36" s="24" t="s">
        <v>26</v>
      </c>
      <c r="F36" s="26"/>
      <c r="G36" s="19"/>
      <c r="H36" s="26"/>
      <c r="I36" s="19"/>
      <c r="J36" s="26"/>
      <c r="K36" s="19"/>
      <c r="L36" s="26"/>
      <c r="M36" s="19"/>
    </row>
    <row r="37" spans="1:13" s="22" customFormat="1" hidden="1" x14ac:dyDescent="0.2">
      <c r="A37" s="29" t="str">
        <f>IF((AND(A40=" ",A25=" ",A26=" ",A27=" ",A28=" ",A29=" ",I23=2,G23&gt;=2)),"Likely Pathogenic (V)"," ")</f>
        <v xml:space="preserve"> </v>
      </c>
      <c r="B37" s="26"/>
      <c r="C37" s="23" t="s">
        <v>12</v>
      </c>
      <c r="D37" s="26"/>
      <c r="E37" s="24" t="s">
        <v>27</v>
      </c>
      <c r="F37" s="26"/>
      <c r="G37" s="19"/>
      <c r="H37" s="26"/>
      <c r="I37" s="19"/>
      <c r="J37" s="26"/>
      <c r="K37" s="19"/>
      <c r="L37" s="26"/>
      <c r="M37" s="19"/>
    </row>
    <row r="38" spans="1:13" s="22" customFormat="1" hidden="1" x14ac:dyDescent="0.2">
      <c r="A38" s="29" t="str">
        <f>IF((AND(A40=" ",A25=" ",A27=" ",A28=" ",A37=" ",I23=1,G23&gt;=4)),"Likely Pathogenic (VI)"," ")</f>
        <v xml:space="preserve"> </v>
      </c>
      <c r="B38" s="26"/>
      <c r="C38" s="23" t="s">
        <v>22</v>
      </c>
      <c r="D38" s="26"/>
      <c r="E38" s="24" t="s">
        <v>10</v>
      </c>
      <c r="F38" s="26"/>
      <c r="G38" s="19"/>
      <c r="H38" s="26"/>
      <c r="I38" s="19"/>
      <c r="J38" s="26"/>
      <c r="K38" s="19"/>
      <c r="L38" s="26"/>
      <c r="M38" s="19"/>
    </row>
    <row r="39" spans="1:13" s="22" customFormat="1" hidden="1" x14ac:dyDescent="0.2">
      <c r="A39" s="29" t="str">
        <f>IF((AND(A25=" ",A26=" ",A27=" ",A28=" ",A29=" ",A30=" ",A31=" ",A32=" ",A33=" ",A34=" ",A35=" ",A36=" ",A37=" ",A38=" ",A40=" ",A41= " ",A42=" ",A43=" ",A44=" ")),"VUS - Insufficient evidence"," ")</f>
        <v>VUS - Insufficient evidence</v>
      </c>
      <c r="B39" s="26"/>
      <c r="C39" s="23" t="s">
        <v>38</v>
      </c>
      <c r="D39" s="26"/>
      <c r="E39" s="24" t="s">
        <v>37</v>
      </c>
      <c r="F39" s="26"/>
      <c r="G39" s="19"/>
      <c r="H39" s="26"/>
      <c r="I39" s="19"/>
      <c r="J39" s="26"/>
      <c r="K39" s="19"/>
      <c r="L39" s="26"/>
      <c r="M39" s="19"/>
    </row>
    <row r="40" spans="1:13" s="22" customFormat="1" hidden="1" x14ac:dyDescent="0.2">
      <c r="A40" s="29" t="str">
        <f>IF(AND(OR(C23&gt;=1,E23&gt;=1,F13&gt;=1),OR(G23&gt;=1,I23&gt;=1,K23&gt;=1,M23&gt;=1)),"VUS - Conflicting evidence"," ")</f>
        <v xml:space="preserve"> </v>
      </c>
      <c r="B40" s="26"/>
      <c r="C40" s="23" t="s">
        <v>39</v>
      </c>
      <c r="D40" s="26"/>
      <c r="E40" s="24" t="s">
        <v>36</v>
      </c>
      <c r="F40" s="26"/>
      <c r="G40" s="19"/>
      <c r="H40" s="26"/>
      <c r="I40" s="19"/>
      <c r="J40" s="26"/>
      <c r="K40" s="19"/>
      <c r="L40" s="26"/>
      <c r="M40" s="19"/>
    </row>
    <row r="41" spans="1:13" s="22" customFormat="1" hidden="1" x14ac:dyDescent="0.2">
      <c r="A41" s="29" t="str">
        <f>IF(AND(A40=" ",A43=" ",C23=1,E23&gt;=1),"Likely benign (I)"," ")</f>
        <v xml:space="preserve"> </v>
      </c>
      <c r="B41" s="26"/>
      <c r="C41" s="23" t="s">
        <v>34</v>
      </c>
      <c r="D41" s="26"/>
      <c r="E41" s="24" t="s">
        <v>33</v>
      </c>
      <c r="F41" s="26"/>
      <c r="G41" s="19"/>
      <c r="H41" s="26"/>
      <c r="I41" s="19"/>
      <c r="J41" s="26"/>
      <c r="K41" s="19"/>
      <c r="L41" s="26"/>
      <c r="M41" s="19"/>
    </row>
    <row r="42" spans="1:13" s="22" customFormat="1" hidden="1" x14ac:dyDescent="0.2">
      <c r="A42" s="29" t="str">
        <f>IF(AND(A40=" ",A41=" ",A43=" ",A44=" ",E23&gt;=2),"Likely benign (II)"," ")</f>
        <v xml:space="preserve"> </v>
      </c>
      <c r="B42" s="26"/>
      <c r="C42" s="23" t="s">
        <v>35</v>
      </c>
      <c r="D42" s="26"/>
      <c r="E42" s="24" t="s">
        <v>32</v>
      </c>
      <c r="F42" s="26"/>
      <c r="G42" s="19"/>
      <c r="H42" s="26"/>
      <c r="I42" s="19"/>
      <c r="J42" s="26"/>
      <c r="K42" s="19"/>
      <c r="L42" s="26"/>
      <c r="M42" s="19"/>
    </row>
    <row r="43" spans="1:13" s="22" customFormat="1" hidden="1" x14ac:dyDescent="0.2">
      <c r="A43" s="29" t="str">
        <f>IF(AND(A40=" ",C8=TRUE),"Benign (I)"," ")</f>
        <v xml:space="preserve"> </v>
      </c>
      <c r="B43" s="26"/>
      <c r="C43" s="23" t="s">
        <v>30</v>
      </c>
      <c r="D43" s="26"/>
      <c r="E43" s="24" t="s">
        <v>29</v>
      </c>
      <c r="F43" s="26"/>
      <c r="G43" s="19"/>
      <c r="H43" s="26"/>
      <c r="I43" s="19"/>
      <c r="J43" s="26"/>
      <c r="K43" s="19"/>
      <c r="L43" s="26"/>
      <c r="M43" s="19"/>
    </row>
    <row r="44" spans="1:13" s="22" customFormat="1" hidden="1" x14ac:dyDescent="0.2">
      <c r="A44" s="29" t="str">
        <f>IF(AND(A40=" ",A41=" ",A43=" ",C23&gt;=2),"Benign (II)"," ")</f>
        <v xml:space="preserve"> </v>
      </c>
      <c r="B44" s="26"/>
      <c r="C44" s="23" t="s">
        <v>31</v>
      </c>
      <c r="D44" s="26"/>
      <c r="E44" s="24" t="s">
        <v>28</v>
      </c>
      <c r="F44" s="26"/>
      <c r="G44" s="19"/>
      <c r="H44" s="26"/>
      <c r="I44" s="19"/>
      <c r="J44" s="26"/>
      <c r="K44" s="19"/>
      <c r="L44" s="26"/>
      <c r="M44" s="19"/>
    </row>
    <row r="45" spans="1:13" s="22" customFormat="1" x14ac:dyDescent="0.4">
      <c r="A45" s="21"/>
      <c r="B45" s="20"/>
      <c r="C45" s="30"/>
      <c r="D45" s="20"/>
      <c r="E45" s="30"/>
      <c r="F45" s="20"/>
      <c r="G45" s="30"/>
      <c r="H45" s="20"/>
      <c r="I45" s="30"/>
      <c r="J45" s="20"/>
      <c r="K45" s="30"/>
      <c r="L45" s="20"/>
      <c r="M45" s="30"/>
    </row>
    <row r="46" spans="1:13" x14ac:dyDescent="0.4">
      <c r="B46" s="3"/>
      <c r="C46" s="16"/>
      <c r="D46" s="3"/>
      <c r="E46" s="16"/>
      <c r="F46" s="3"/>
      <c r="G46" s="16"/>
      <c r="H46" s="3"/>
      <c r="I46" s="16"/>
      <c r="J46" s="3"/>
      <c r="K46" s="16"/>
      <c r="L46" s="3"/>
      <c r="M46" s="16"/>
    </row>
    <row r="47" spans="1:13" x14ac:dyDescent="0.4">
      <c r="B47" s="3"/>
      <c r="C47" s="16"/>
      <c r="D47" s="3"/>
      <c r="E47" s="16"/>
      <c r="F47" s="3"/>
      <c r="G47" s="16"/>
      <c r="H47" s="3"/>
      <c r="I47" s="16"/>
      <c r="J47" s="3"/>
      <c r="K47" s="16"/>
      <c r="L47" s="3"/>
      <c r="M47" s="16"/>
    </row>
    <row r="48" spans="1:13" x14ac:dyDescent="0.4">
      <c r="B48" s="3"/>
      <c r="C48" s="16"/>
      <c r="D48" s="3"/>
      <c r="E48" s="16"/>
      <c r="F48" s="3"/>
      <c r="G48" s="16"/>
      <c r="H48" s="3"/>
      <c r="I48" s="16"/>
      <c r="J48" s="3"/>
      <c r="K48" s="16"/>
      <c r="L48" s="3"/>
      <c r="M48" s="16"/>
    </row>
    <row r="49" spans="2:13" x14ac:dyDescent="0.4">
      <c r="B49" s="3"/>
      <c r="C49" s="16"/>
      <c r="D49" s="3"/>
      <c r="E49" s="16"/>
      <c r="F49" s="3"/>
      <c r="G49" s="16"/>
      <c r="H49" s="3"/>
      <c r="I49" s="16"/>
      <c r="J49" s="3"/>
      <c r="K49" s="16"/>
      <c r="L49" s="3"/>
      <c r="M49" s="16"/>
    </row>
    <row r="50" spans="2:13" x14ac:dyDescent="0.4">
      <c r="B50" s="3"/>
      <c r="C50" s="16"/>
      <c r="D50" s="3"/>
      <c r="E50" s="16"/>
      <c r="F50" s="3"/>
      <c r="G50" s="16"/>
      <c r="H50" s="3"/>
      <c r="I50" s="16"/>
      <c r="J50" s="3"/>
      <c r="K50" s="16"/>
      <c r="L50" s="3"/>
      <c r="M50" s="16"/>
    </row>
    <row r="51" spans="2:13" x14ac:dyDescent="0.4">
      <c r="B51" s="3"/>
      <c r="C51" s="16"/>
      <c r="D51" s="3"/>
      <c r="E51" s="16"/>
      <c r="F51" s="3"/>
      <c r="G51" s="16"/>
      <c r="H51" s="3"/>
      <c r="I51" s="16"/>
      <c r="J51" s="3"/>
      <c r="K51" s="16"/>
      <c r="L51" s="3"/>
      <c r="M51" s="16"/>
    </row>
    <row r="52" spans="2:13" x14ac:dyDescent="0.4">
      <c r="B52" s="3"/>
      <c r="C52" s="16"/>
      <c r="D52" s="3"/>
      <c r="E52" s="16"/>
      <c r="F52" s="3"/>
      <c r="G52" s="16"/>
      <c r="H52" s="3"/>
      <c r="I52" s="16"/>
      <c r="J52" s="3"/>
      <c r="K52" s="16"/>
      <c r="L52" s="3"/>
      <c r="M52" s="16"/>
    </row>
    <row r="53" spans="2:13" x14ac:dyDescent="0.4">
      <c r="B53" s="3"/>
      <c r="C53" s="16"/>
      <c r="D53" s="3"/>
      <c r="E53" s="16"/>
      <c r="F53" s="3"/>
      <c r="G53" s="16"/>
      <c r="H53" s="3"/>
      <c r="I53" s="16"/>
      <c r="J53" s="3"/>
      <c r="K53" s="16"/>
      <c r="L53" s="3"/>
      <c r="M53" s="16"/>
    </row>
    <row r="54" spans="2:13" x14ac:dyDescent="0.4">
      <c r="B54" s="3"/>
      <c r="C54" s="16"/>
      <c r="D54" s="3"/>
      <c r="E54" s="16"/>
      <c r="F54" s="3"/>
      <c r="G54" s="16"/>
      <c r="H54" s="3"/>
      <c r="I54" s="16"/>
      <c r="J54" s="3"/>
      <c r="K54" s="16"/>
      <c r="L54" s="3"/>
      <c r="M54" s="16"/>
    </row>
    <row r="55" spans="2:13" x14ac:dyDescent="0.4">
      <c r="B55" s="3"/>
      <c r="C55" s="16"/>
      <c r="D55" s="3"/>
      <c r="E55" s="16"/>
      <c r="F55" s="3"/>
      <c r="G55" s="16"/>
      <c r="H55" s="3"/>
      <c r="I55" s="16"/>
      <c r="J55" s="3"/>
      <c r="K55" s="16"/>
      <c r="L55" s="3"/>
      <c r="M55" s="16"/>
    </row>
    <row r="56" spans="2:13" x14ac:dyDescent="0.4">
      <c r="B56" s="3"/>
      <c r="C56" s="16"/>
      <c r="D56" s="3"/>
      <c r="E56" s="16"/>
      <c r="F56" s="3"/>
      <c r="G56" s="16"/>
      <c r="H56" s="3"/>
      <c r="I56" s="16"/>
      <c r="J56" s="3"/>
      <c r="K56" s="16"/>
      <c r="L56" s="3"/>
      <c r="M56" s="16"/>
    </row>
    <row r="57" spans="2:13" x14ac:dyDescent="0.4">
      <c r="B57" s="3"/>
      <c r="C57" s="16"/>
      <c r="D57" s="3"/>
      <c r="E57" s="16"/>
      <c r="F57" s="3"/>
      <c r="G57" s="16"/>
      <c r="H57" s="3"/>
      <c r="I57" s="16"/>
      <c r="J57" s="3"/>
      <c r="K57" s="16"/>
      <c r="L57" s="3"/>
      <c r="M57" s="16"/>
    </row>
    <row r="58" spans="2:13" x14ac:dyDescent="0.4">
      <c r="B58" s="3"/>
      <c r="C58" s="16"/>
      <c r="D58" s="3"/>
      <c r="E58" s="16"/>
      <c r="F58" s="3"/>
      <c r="G58" s="16"/>
      <c r="H58" s="3"/>
      <c r="I58" s="16"/>
      <c r="J58" s="3"/>
      <c r="K58" s="16"/>
      <c r="L58" s="3"/>
      <c r="M58" s="16"/>
    </row>
    <row r="59" spans="2:13" x14ac:dyDescent="0.4">
      <c r="B59" s="3"/>
      <c r="C59" s="16"/>
      <c r="D59" s="3"/>
      <c r="E59" s="16"/>
      <c r="F59" s="3"/>
      <c r="G59" s="16"/>
      <c r="H59" s="3"/>
      <c r="I59" s="16"/>
      <c r="J59" s="3"/>
      <c r="K59" s="16"/>
      <c r="L59" s="3"/>
      <c r="M59" s="16"/>
    </row>
    <row r="60" spans="2:13" x14ac:dyDescent="0.4">
      <c r="B60" s="3"/>
      <c r="C60" s="16"/>
      <c r="D60" s="3"/>
      <c r="E60" s="16"/>
      <c r="F60" s="3"/>
      <c r="G60" s="16"/>
      <c r="H60" s="3"/>
      <c r="I60" s="16"/>
      <c r="J60" s="3"/>
      <c r="K60" s="16"/>
      <c r="L60" s="3"/>
      <c r="M60" s="16"/>
    </row>
    <row r="61" spans="2:13" x14ac:dyDescent="0.4">
      <c r="B61" s="3"/>
      <c r="C61" s="16"/>
      <c r="D61" s="3"/>
      <c r="E61" s="16"/>
      <c r="F61" s="3"/>
      <c r="G61" s="16"/>
      <c r="H61" s="3"/>
      <c r="I61" s="16"/>
      <c r="J61" s="3"/>
      <c r="K61" s="16"/>
      <c r="L61" s="3"/>
      <c r="M61" s="16"/>
    </row>
    <row r="62" spans="2:13" x14ac:dyDescent="0.4">
      <c r="B62" s="3"/>
      <c r="C62" s="16"/>
      <c r="D62" s="3"/>
      <c r="E62" s="16"/>
      <c r="F62" s="3"/>
      <c r="G62" s="16"/>
      <c r="H62" s="3"/>
      <c r="I62" s="16"/>
      <c r="J62" s="3"/>
      <c r="K62" s="16"/>
      <c r="L62" s="3"/>
      <c r="M62" s="16"/>
    </row>
  </sheetData>
  <sheetProtection algorithmName="SHA-512" hashValue="MckLrYch7F2zMiuBlQeIY3mOZTi4CrcI3Xw4RZVDnhiNyYTIk9ED78UbPIQEbOIUmldKL52gHt84ttUSMSOlJw==" saltValue="OByc4Z4aNpFE9QR+BIHGiQ==" spinCount="100000" sheet="1" objects="1" scenarios="1" selectLockedCells="1"/>
  <mergeCells count="24">
    <mergeCell ref="D2:F2"/>
    <mergeCell ref="D4:F4"/>
    <mergeCell ref="B22:M22"/>
    <mergeCell ref="J7:K7"/>
    <mergeCell ref="L7:M7"/>
    <mergeCell ref="J2:L2"/>
    <mergeCell ref="F11:F12"/>
    <mergeCell ref="H18:H19"/>
    <mergeCell ref="J8:J9"/>
    <mergeCell ref="H11:H13"/>
    <mergeCell ref="I11:I13"/>
    <mergeCell ref="J11:J13"/>
    <mergeCell ref="L11:L12"/>
    <mergeCell ref="A18:A19"/>
    <mergeCell ref="F6:M6"/>
    <mergeCell ref="B6:E6"/>
    <mergeCell ref="A8:A10"/>
    <mergeCell ref="A6:A7"/>
    <mergeCell ref="A11:A14"/>
    <mergeCell ref="H7:I7"/>
    <mergeCell ref="F7:G7"/>
    <mergeCell ref="D7:E7"/>
    <mergeCell ref="B7:C7"/>
    <mergeCell ref="F18:F19"/>
  </mergeCells>
  <conditionalFormatting sqref="D5 J2">
    <cfRule type="containsText" dxfId="40" priority="7" operator="containsText" text="VUS">
      <formula>NOT(ISERROR(SEARCH("VUS",D2)))</formula>
    </cfRule>
    <cfRule type="containsText" dxfId="39" priority="8" operator="containsText" text="LIKELY PATHOGENIC">
      <formula>NOT(ISERROR(SEARCH("LIKELY PATHOGENIC",D2)))</formula>
    </cfRule>
    <cfRule type="containsText" dxfId="38" priority="9" operator="containsText" text="PATHOGENIC">
      <formula>NOT(ISERROR(SEARCH("PATHOGENIC",D2)))</formula>
    </cfRule>
    <cfRule type="containsText" dxfId="37" priority="10" operator="containsText" text="LIKELY BENIGN">
      <formula>NOT(ISERROR(SEARCH("LIKELY BENIGN",D2)))</formula>
    </cfRule>
    <cfRule type="containsText" dxfId="36" priority="11" operator="containsText" text="BENIGN">
      <formula>NOT(ISERROR(SEARCH("BENIGN",D2)))</formula>
    </cfRule>
  </conditionalFormatting>
  <conditionalFormatting sqref="D4:F4">
    <cfRule type="containsText" dxfId="35" priority="5" operator="containsText" text="Conflicting evidence">
      <formula>NOT(ISERROR(SEARCH("Conflicting evidence",D4)))</formula>
    </cfRule>
    <cfRule type="containsText" dxfId="34" priority="6" operator="containsText" text="Insufficient evidence">
      <formula>NOT(ISERROR(SEARCH("Insufficient evidence",D4)))</formula>
    </cfRule>
  </conditionalFormatting>
  <conditionalFormatting sqref="D2:F2">
    <cfRule type="containsText" dxfId="33" priority="1" operator="containsText" text="Conflicting evidence">
      <formula>NOT(ISERROR(SEARCH("Conflicting evidence",D2)))</formula>
    </cfRule>
    <cfRule type="containsText" dxfId="32" priority="2" operator="containsText" text="Insufficient evidence">
      <formula>NOT(ISERROR(SEARCH("Insufficient evidence",D2)))</formula>
    </cfRule>
  </conditionalFormatting>
  <printOptions horizontalCentered="1"/>
  <pageMargins left="0.23622047244094491" right="0.23622047244094491" top="0.35433070866141736" bottom="0.39370078740157483" header="0.31496062992125984" footer="0.31496062992125984"/>
  <pageSetup paperSize="9" scale="76" orientation="landscape" r:id="rId1"/>
  <headerFooter>
    <oddFooter>&amp;L&amp;"Verdana,Italic"&amp;8                 adapted from Richards, et al. 2015 Standards and guidelines for the interpretation of sequence variants.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locked="0" defaultSize="0" autoFill="0" autoLine="0" autoPict="0">
                <anchor moveWithCells="1">
                  <from>
                    <xdr:col>2</xdr:col>
                    <xdr:colOff>11430</xdr:colOff>
                    <xdr:row>7</xdr:row>
                    <xdr:rowOff>57150</xdr:rowOff>
                  </from>
                  <to>
                    <xdr:col>3</xdr:col>
                    <xdr:colOff>106680</xdr:colOff>
                    <xdr:row>7</xdr:row>
                    <xdr:rowOff>297180</xdr:rowOff>
                  </to>
                </anchor>
              </controlPr>
            </control>
          </mc:Choice>
        </mc:AlternateContent>
        <mc:AlternateContent xmlns:mc="http://schemas.openxmlformats.org/markup-compatibility/2006">
          <mc:Choice Requires="x14">
            <control shapeId="2050" r:id="rId5" name="Check Box 2">
              <controlPr locked="0" defaultSize="0" autoFill="0" autoLine="0" autoPict="0">
                <anchor moveWithCells="1">
                  <from>
                    <xdr:col>4</xdr:col>
                    <xdr:colOff>11430</xdr:colOff>
                    <xdr:row>10</xdr:row>
                    <xdr:rowOff>95250</xdr:rowOff>
                  </from>
                  <to>
                    <xdr:col>5</xdr:col>
                    <xdr:colOff>95250</xdr:colOff>
                    <xdr:row>10</xdr:row>
                    <xdr:rowOff>323850</xdr:rowOff>
                  </to>
                </anchor>
              </controlPr>
            </control>
          </mc:Choice>
        </mc:AlternateContent>
        <mc:AlternateContent xmlns:mc="http://schemas.openxmlformats.org/markup-compatibility/2006">
          <mc:Choice Requires="x14">
            <control shapeId="2051" r:id="rId6" name="Check Box 3">
              <controlPr locked="0" defaultSize="0" autoFill="0" autoLine="0" autoPict="0">
                <anchor moveWithCells="1">
                  <from>
                    <xdr:col>8</xdr:col>
                    <xdr:colOff>11430</xdr:colOff>
                    <xdr:row>7</xdr:row>
                    <xdr:rowOff>0</xdr:rowOff>
                  </from>
                  <to>
                    <xdr:col>9</xdr:col>
                    <xdr:colOff>95250</xdr:colOff>
                    <xdr:row>7</xdr:row>
                    <xdr:rowOff>297180</xdr:rowOff>
                  </to>
                </anchor>
              </controlPr>
            </control>
          </mc:Choice>
        </mc:AlternateContent>
        <mc:AlternateContent xmlns:mc="http://schemas.openxmlformats.org/markup-compatibility/2006">
          <mc:Choice Requires="x14">
            <control shapeId="2052" r:id="rId7" name="Check Box 4">
              <controlPr locked="0" defaultSize="0" autoFill="0" autoLine="0" autoPict="0">
                <anchor moveWithCells="1">
                  <from>
                    <xdr:col>10</xdr:col>
                    <xdr:colOff>19050</xdr:colOff>
                    <xdr:row>7</xdr:row>
                    <xdr:rowOff>19050</xdr:rowOff>
                  </from>
                  <to>
                    <xdr:col>11</xdr:col>
                    <xdr:colOff>106680</xdr:colOff>
                    <xdr:row>7</xdr:row>
                    <xdr:rowOff>285750</xdr:rowOff>
                  </to>
                </anchor>
              </controlPr>
            </control>
          </mc:Choice>
        </mc:AlternateContent>
        <mc:AlternateContent xmlns:mc="http://schemas.openxmlformats.org/markup-compatibility/2006">
          <mc:Choice Requires="x14">
            <control shapeId="2053" r:id="rId8" name="Check Box 5">
              <controlPr locked="0" defaultSize="0" autoFill="0" autoLine="0" autoPict="0">
                <anchor moveWithCells="1">
                  <from>
                    <xdr:col>2</xdr:col>
                    <xdr:colOff>19050</xdr:colOff>
                    <xdr:row>8</xdr:row>
                    <xdr:rowOff>76200</xdr:rowOff>
                  </from>
                  <to>
                    <xdr:col>3</xdr:col>
                    <xdr:colOff>125730</xdr:colOff>
                    <xdr:row>8</xdr:row>
                    <xdr:rowOff>316230</xdr:rowOff>
                  </to>
                </anchor>
              </controlPr>
            </control>
          </mc:Choice>
        </mc:AlternateContent>
        <mc:AlternateContent xmlns:mc="http://schemas.openxmlformats.org/markup-compatibility/2006">
          <mc:Choice Requires="x14">
            <control shapeId="2054" r:id="rId9" name="Check Box 6">
              <controlPr locked="0" defaultSize="0" autoFill="0" autoLine="0" autoPict="0">
                <anchor moveWithCells="1">
                  <from>
                    <xdr:col>2</xdr:col>
                    <xdr:colOff>11430</xdr:colOff>
                    <xdr:row>9</xdr:row>
                    <xdr:rowOff>163830</xdr:rowOff>
                  </from>
                  <to>
                    <xdr:col>3</xdr:col>
                    <xdr:colOff>106680</xdr:colOff>
                    <xdr:row>9</xdr:row>
                    <xdr:rowOff>392430</xdr:rowOff>
                  </to>
                </anchor>
              </controlPr>
            </control>
          </mc:Choice>
        </mc:AlternateContent>
        <mc:AlternateContent xmlns:mc="http://schemas.openxmlformats.org/markup-compatibility/2006">
          <mc:Choice Requires="x14">
            <control shapeId="2055" r:id="rId10" name="Check Box 7">
              <controlPr locked="0" defaultSize="0" autoFill="0" autoLine="0" autoPict="0">
                <anchor moveWithCells="1">
                  <from>
                    <xdr:col>4</xdr:col>
                    <xdr:colOff>11430</xdr:colOff>
                    <xdr:row>11</xdr:row>
                    <xdr:rowOff>76200</xdr:rowOff>
                  </from>
                  <to>
                    <xdr:col>5</xdr:col>
                    <xdr:colOff>95250</xdr:colOff>
                    <xdr:row>11</xdr:row>
                    <xdr:rowOff>316230</xdr:rowOff>
                  </to>
                </anchor>
              </controlPr>
            </control>
          </mc:Choice>
        </mc:AlternateContent>
        <mc:AlternateContent xmlns:mc="http://schemas.openxmlformats.org/markup-compatibility/2006">
          <mc:Choice Requires="x14">
            <control shapeId="2056" r:id="rId11" name="Check Box 8">
              <controlPr locked="0" defaultSize="0" autoFill="0" autoLine="0" autoPict="0">
                <anchor moveWithCells="1">
                  <from>
                    <xdr:col>4</xdr:col>
                    <xdr:colOff>11430</xdr:colOff>
                    <xdr:row>12</xdr:row>
                    <xdr:rowOff>68580</xdr:rowOff>
                  </from>
                  <to>
                    <xdr:col>5</xdr:col>
                    <xdr:colOff>95250</xdr:colOff>
                    <xdr:row>12</xdr:row>
                    <xdr:rowOff>297180</xdr:rowOff>
                  </to>
                </anchor>
              </controlPr>
            </control>
          </mc:Choice>
        </mc:AlternateContent>
        <mc:AlternateContent xmlns:mc="http://schemas.openxmlformats.org/markup-compatibility/2006">
          <mc:Choice Requires="x14">
            <control shapeId="2057" r:id="rId12" name="Check Box 9">
              <controlPr locked="0" defaultSize="0" autoFill="0" autoLine="0" autoPict="0">
                <anchor moveWithCells="1">
                  <from>
                    <xdr:col>4</xdr:col>
                    <xdr:colOff>11430</xdr:colOff>
                    <xdr:row>13</xdr:row>
                    <xdr:rowOff>76200</xdr:rowOff>
                  </from>
                  <to>
                    <xdr:col>5</xdr:col>
                    <xdr:colOff>95250</xdr:colOff>
                    <xdr:row>13</xdr:row>
                    <xdr:rowOff>316230</xdr:rowOff>
                  </to>
                </anchor>
              </controlPr>
            </control>
          </mc:Choice>
        </mc:AlternateContent>
        <mc:AlternateContent xmlns:mc="http://schemas.openxmlformats.org/markup-compatibility/2006">
          <mc:Choice Requires="x14">
            <control shapeId="2058" r:id="rId13" name="Check Box 10">
              <controlPr locked="0" defaultSize="0" autoFill="0" autoLine="0" autoPict="0">
                <anchor moveWithCells="1">
                  <from>
                    <xdr:col>6</xdr:col>
                    <xdr:colOff>11430</xdr:colOff>
                    <xdr:row>10</xdr:row>
                    <xdr:rowOff>95250</xdr:rowOff>
                  </from>
                  <to>
                    <xdr:col>7</xdr:col>
                    <xdr:colOff>95250</xdr:colOff>
                    <xdr:row>10</xdr:row>
                    <xdr:rowOff>323850</xdr:rowOff>
                  </to>
                </anchor>
              </controlPr>
            </control>
          </mc:Choice>
        </mc:AlternateContent>
        <mc:AlternateContent xmlns:mc="http://schemas.openxmlformats.org/markup-compatibility/2006">
          <mc:Choice Requires="x14">
            <control shapeId="2059" r:id="rId14" name="Check Box 11">
              <controlPr locked="0" defaultSize="0" autoFill="0" autoLine="0" autoPict="0">
                <anchor moveWithCells="1">
                  <from>
                    <xdr:col>8</xdr:col>
                    <xdr:colOff>11430</xdr:colOff>
                    <xdr:row>10</xdr:row>
                    <xdr:rowOff>95250</xdr:rowOff>
                  </from>
                  <to>
                    <xdr:col>9</xdr:col>
                    <xdr:colOff>95250</xdr:colOff>
                    <xdr:row>10</xdr:row>
                    <xdr:rowOff>323850</xdr:rowOff>
                  </to>
                </anchor>
              </controlPr>
            </control>
          </mc:Choice>
        </mc:AlternateContent>
        <mc:AlternateContent xmlns:mc="http://schemas.openxmlformats.org/markup-compatibility/2006">
          <mc:Choice Requires="x14">
            <control shapeId="2060" r:id="rId15" name="Check Box 12">
              <controlPr locked="0" defaultSize="0" autoFill="0" autoLine="0" autoPict="0">
                <anchor moveWithCells="1">
                  <from>
                    <xdr:col>8</xdr:col>
                    <xdr:colOff>11430</xdr:colOff>
                    <xdr:row>13</xdr:row>
                    <xdr:rowOff>87630</xdr:rowOff>
                  </from>
                  <to>
                    <xdr:col>9</xdr:col>
                    <xdr:colOff>95250</xdr:colOff>
                    <xdr:row>13</xdr:row>
                    <xdr:rowOff>323850</xdr:rowOff>
                  </to>
                </anchor>
              </controlPr>
            </control>
          </mc:Choice>
        </mc:AlternateContent>
        <mc:AlternateContent xmlns:mc="http://schemas.openxmlformats.org/markup-compatibility/2006">
          <mc:Choice Requires="x14">
            <control shapeId="2061" r:id="rId16" name="Check Box 13">
              <controlPr locked="0" defaultSize="0" autoFill="0" autoLine="0" autoPict="0">
                <anchor moveWithCells="1">
                  <from>
                    <xdr:col>10</xdr:col>
                    <xdr:colOff>11430</xdr:colOff>
                    <xdr:row>10</xdr:row>
                    <xdr:rowOff>95250</xdr:rowOff>
                  </from>
                  <to>
                    <xdr:col>11</xdr:col>
                    <xdr:colOff>95250</xdr:colOff>
                    <xdr:row>10</xdr:row>
                    <xdr:rowOff>323850</xdr:rowOff>
                  </to>
                </anchor>
              </controlPr>
            </control>
          </mc:Choice>
        </mc:AlternateContent>
        <mc:AlternateContent xmlns:mc="http://schemas.openxmlformats.org/markup-compatibility/2006">
          <mc:Choice Requires="x14">
            <control shapeId="2062" r:id="rId17" name="Check Box 14">
              <controlPr locked="0" defaultSize="0" autoFill="0" autoLine="0" autoPict="0">
                <anchor moveWithCells="1">
                  <from>
                    <xdr:col>12</xdr:col>
                    <xdr:colOff>19050</xdr:colOff>
                    <xdr:row>10</xdr:row>
                    <xdr:rowOff>95250</xdr:rowOff>
                  </from>
                  <to>
                    <xdr:col>13</xdr:col>
                    <xdr:colOff>106680</xdr:colOff>
                    <xdr:row>10</xdr:row>
                    <xdr:rowOff>323850</xdr:rowOff>
                  </to>
                </anchor>
              </controlPr>
            </control>
          </mc:Choice>
        </mc:AlternateContent>
        <mc:AlternateContent xmlns:mc="http://schemas.openxmlformats.org/markup-compatibility/2006">
          <mc:Choice Requires="x14">
            <control shapeId="2063" r:id="rId18" name="Check Box 15">
              <controlPr locked="0" defaultSize="0" autoFill="0" autoLine="0" autoPict="0">
                <anchor moveWithCells="1">
                  <from>
                    <xdr:col>2</xdr:col>
                    <xdr:colOff>11430</xdr:colOff>
                    <xdr:row>14</xdr:row>
                    <xdr:rowOff>38100</xdr:rowOff>
                  </from>
                  <to>
                    <xdr:col>3</xdr:col>
                    <xdr:colOff>95250</xdr:colOff>
                    <xdr:row>14</xdr:row>
                    <xdr:rowOff>285750</xdr:rowOff>
                  </to>
                </anchor>
              </controlPr>
            </control>
          </mc:Choice>
        </mc:AlternateContent>
        <mc:AlternateContent xmlns:mc="http://schemas.openxmlformats.org/markup-compatibility/2006">
          <mc:Choice Requires="x14">
            <control shapeId="2064" r:id="rId19" name="Check Box 16">
              <controlPr locked="0" defaultSize="0" autoFill="0" autoLine="0" autoPict="0">
                <anchor moveWithCells="1">
                  <from>
                    <xdr:col>6</xdr:col>
                    <xdr:colOff>11430</xdr:colOff>
                    <xdr:row>14</xdr:row>
                    <xdr:rowOff>49530</xdr:rowOff>
                  </from>
                  <to>
                    <xdr:col>7</xdr:col>
                    <xdr:colOff>95250</xdr:colOff>
                    <xdr:row>14</xdr:row>
                    <xdr:rowOff>323850</xdr:rowOff>
                  </to>
                </anchor>
              </controlPr>
            </control>
          </mc:Choice>
        </mc:AlternateContent>
        <mc:AlternateContent xmlns:mc="http://schemas.openxmlformats.org/markup-compatibility/2006">
          <mc:Choice Requires="x14">
            <control shapeId="2066" r:id="rId20" name="Check Box 18">
              <controlPr locked="0" defaultSize="0" autoFill="0" autoLine="0" autoPict="0">
                <anchor moveWithCells="1">
                  <from>
                    <xdr:col>8</xdr:col>
                    <xdr:colOff>11430</xdr:colOff>
                    <xdr:row>14</xdr:row>
                    <xdr:rowOff>30480</xdr:rowOff>
                  </from>
                  <to>
                    <xdr:col>9</xdr:col>
                    <xdr:colOff>95250</xdr:colOff>
                    <xdr:row>14</xdr:row>
                    <xdr:rowOff>323850</xdr:rowOff>
                  </to>
                </anchor>
              </controlPr>
            </control>
          </mc:Choice>
        </mc:AlternateContent>
        <mc:AlternateContent xmlns:mc="http://schemas.openxmlformats.org/markup-compatibility/2006">
          <mc:Choice Requires="x14">
            <control shapeId="2067" r:id="rId21" name="Check Box 19">
              <controlPr locked="0" defaultSize="0" autoFill="0" autoLine="0" autoPict="0">
                <anchor moveWithCells="1">
                  <from>
                    <xdr:col>10</xdr:col>
                    <xdr:colOff>11430</xdr:colOff>
                    <xdr:row>14</xdr:row>
                    <xdr:rowOff>38100</xdr:rowOff>
                  </from>
                  <to>
                    <xdr:col>11</xdr:col>
                    <xdr:colOff>95250</xdr:colOff>
                    <xdr:row>14</xdr:row>
                    <xdr:rowOff>323850</xdr:rowOff>
                  </to>
                </anchor>
              </controlPr>
            </control>
          </mc:Choice>
        </mc:AlternateContent>
        <mc:AlternateContent xmlns:mc="http://schemas.openxmlformats.org/markup-compatibility/2006">
          <mc:Choice Requires="x14">
            <control shapeId="2068" r:id="rId22" name="Check Box 20">
              <controlPr locked="0" defaultSize="0" autoFill="0" autoLine="0" autoPict="0">
                <anchor moveWithCells="1">
                  <from>
                    <xdr:col>10</xdr:col>
                    <xdr:colOff>11430</xdr:colOff>
                    <xdr:row>15</xdr:row>
                    <xdr:rowOff>76200</xdr:rowOff>
                  </from>
                  <to>
                    <xdr:col>11</xdr:col>
                    <xdr:colOff>95250</xdr:colOff>
                    <xdr:row>15</xdr:row>
                    <xdr:rowOff>304800</xdr:rowOff>
                  </to>
                </anchor>
              </controlPr>
            </control>
          </mc:Choice>
        </mc:AlternateContent>
        <mc:AlternateContent xmlns:mc="http://schemas.openxmlformats.org/markup-compatibility/2006">
          <mc:Choice Requires="x14">
            <control shapeId="2069" r:id="rId23" name="Check Box 21">
              <controlPr locked="0" defaultSize="0" autoFill="0" autoLine="0" autoPict="0">
                <anchor moveWithCells="1">
                  <from>
                    <xdr:col>8</xdr:col>
                    <xdr:colOff>11430</xdr:colOff>
                    <xdr:row>15</xdr:row>
                    <xdr:rowOff>76200</xdr:rowOff>
                  </from>
                  <to>
                    <xdr:col>9</xdr:col>
                    <xdr:colOff>95250</xdr:colOff>
                    <xdr:row>15</xdr:row>
                    <xdr:rowOff>304800</xdr:rowOff>
                  </to>
                </anchor>
              </controlPr>
            </control>
          </mc:Choice>
        </mc:AlternateContent>
        <mc:AlternateContent xmlns:mc="http://schemas.openxmlformats.org/markup-compatibility/2006">
          <mc:Choice Requires="x14">
            <control shapeId="2070" r:id="rId24" name="Check Box 22">
              <controlPr locked="0" defaultSize="0" autoFill="0" autoLine="0" autoPict="0">
                <anchor moveWithCells="1">
                  <from>
                    <xdr:col>6</xdr:col>
                    <xdr:colOff>11430</xdr:colOff>
                    <xdr:row>15</xdr:row>
                    <xdr:rowOff>76200</xdr:rowOff>
                  </from>
                  <to>
                    <xdr:col>7</xdr:col>
                    <xdr:colOff>95250</xdr:colOff>
                    <xdr:row>15</xdr:row>
                    <xdr:rowOff>304800</xdr:rowOff>
                  </to>
                </anchor>
              </controlPr>
            </control>
          </mc:Choice>
        </mc:AlternateContent>
        <mc:AlternateContent xmlns:mc="http://schemas.openxmlformats.org/markup-compatibility/2006">
          <mc:Choice Requires="x14">
            <control shapeId="2071" r:id="rId25" name="Check Box 23">
              <controlPr locked="0" defaultSize="0" autoFill="0" autoLine="0" autoPict="0">
                <anchor moveWithCells="1">
                  <from>
                    <xdr:col>8</xdr:col>
                    <xdr:colOff>0</xdr:colOff>
                    <xdr:row>16</xdr:row>
                    <xdr:rowOff>106680</xdr:rowOff>
                  </from>
                  <to>
                    <xdr:col>9</xdr:col>
                    <xdr:colOff>87630</xdr:colOff>
                    <xdr:row>16</xdr:row>
                    <xdr:rowOff>335280</xdr:rowOff>
                  </to>
                </anchor>
              </controlPr>
            </control>
          </mc:Choice>
        </mc:AlternateContent>
        <mc:AlternateContent xmlns:mc="http://schemas.openxmlformats.org/markup-compatibility/2006">
          <mc:Choice Requires="x14">
            <control shapeId="2072" r:id="rId26" name="Check Box 24">
              <controlPr locked="0" defaultSize="0" autoFill="0" autoLine="0" autoPict="0">
                <anchor moveWithCells="1">
                  <from>
                    <xdr:col>10</xdr:col>
                    <xdr:colOff>11430</xdr:colOff>
                    <xdr:row>16</xdr:row>
                    <xdr:rowOff>114300</xdr:rowOff>
                  </from>
                  <to>
                    <xdr:col>11</xdr:col>
                    <xdr:colOff>95250</xdr:colOff>
                    <xdr:row>16</xdr:row>
                    <xdr:rowOff>342900</xdr:rowOff>
                  </to>
                </anchor>
              </controlPr>
            </control>
          </mc:Choice>
        </mc:AlternateContent>
        <mc:AlternateContent xmlns:mc="http://schemas.openxmlformats.org/markup-compatibility/2006">
          <mc:Choice Requires="x14">
            <control shapeId="2075" r:id="rId27" name="Check Box 27">
              <controlPr locked="0" defaultSize="0" autoFill="0" autoLine="0" autoPict="0">
                <anchor moveWithCells="1">
                  <from>
                    <xdr:col>2</xdr:col>
                    <xdr:colOff>11430</xdr:colOff>
                    <xdr:row>15</xdr:row>
                    <xdr:rowOff>152400</xdr:rowOff>
                  </from>
                  <to>
                    <xdr:col>3</xdr:col>
                    <xdr:colOff>95250</xdr:colOff>
                    <xdr:row>15</xdr:row>
                    <xdr:rowOff>381000</xdr:rowOff>
                  </to>
                </anchor>
              </controlPr>
            </control>
          </mc:Choice>
        </mc:AlternateContent>
        <mc:AlternateContent xmlns:mc="http://schemas.openxmlformats.org/markup-compatibility/2006">
          <mc:Choice Requires="x14">
            <control shapeId="2076" r:id="rId28" name="Check Box 28">
              <controlPr locked="0" defaultSize="0" autoFill="0" autoLine="0" autoPict="0">
                <anchor moveWithCells="1">
                  <from>
                    <xdr:col>4</xdr:col>
                    <xdr:colOff>11430</xdr:colOff>
                    <xdr:row>17</xdr:row>
                    <xdr:rowOff>106680</xdr:rowOff>
                  </from>
                  <to>
                    <xdr:col>5</xdr:col>
                    <xdr:colOff>95250</xdr:colOff>
                    <xdr:row>17</xdr:row>
                    <xdr:rowOff>335280</xdr:rowOff>
                  </to>
                </anchor>
              </controlPr>
            </control>
          </mc:Choice>
        </mc:AlternateContent>
        <mc:AlternateContent xmlns:mc="http://schemas.openxmlformats.org/markup-compatibility/2006">
          <mc:Choice Requires="x14">
            <control shapeId="2077" r:id="rId29" name="Check Box 29">
              <controlPr locked="0" defaultSize="0" autoFill="0" autoLine="0" autoPict="0">
                <anchor moveWithCells="1">
                  <from>
                    <xdr:col>4</xdr:col>
                    <xdr:colOff>11430</xdr:colOff>
                    <xdr:row>18</xdr:row>
                    <xdr:rowOff>76200</xdr:rowOff>
                  </from>
                  <to>
                    <xdr:col>5</xdr:col>
                    <xdr:colOff>95250</xdr:colOff>
                    <xdr:row>18</xdr:row>
                    <xdr:rowOff>304800</xdr:rowOff>
                  </to>
                </anchor>
              </controlPr>
            </control>
          </mc:Choice>
        </mc:AlternateContent>
        <mc:AlternateContent xmlns:mc="http://schemas.openxmlformats.org/markup-compatibility/2006">
          <mc:Choice Requires="x14">
            <control shapeId="2078" r:id="rId30" name="Check Box 30">
              <controlPr locked="0" defaultSize="0" autoFill="0" autoLine="0" autoPict="0">
                <anchor moveWithCells="1">
                  <from>
                    <xdr:col>4</xdr:col>
                    <xdr:colOff>11430</xdr:colOff>
                    <xdr:row>19</xdr:row>
                    <xdr:rowOff>68580</xdr:rowOff>
                  </from>
                  <to>
                    <xdr:col>5</xdr:col>
                    <xdr:colOff>95250</xdr:colOff>
                    <xdr:row>19</xdr:row>
                    <xdr:rowOff>297180</xdr:rowOff>
                  </to>
                </anchor>
              </controlPr>
            </control>
          </mc:Choice>
        </mc:AlternateContent>
        <mc:AlternateContent xmlns:mc="http://schemas.openxmlformats.org/markup-compatibility/2006">
          <mc:Choice Requires="x14">
            <control shapeId="2079" r:id="rId31" name="Check Box 31">
              <controlPr locked="0" defaultSize="0" autoFill="0" autoLine="0" autoPict="0">
                <anchor moveWithCells="1">
                  <from>
                    <xdr:col>6</xdr:col>
                    <xdr:colOff>11430</xdr:colOff>
                    <xdr:row>19</xdr:row>
                    <xdr:rowOff>38100</xdr:rowOff>
                  </from>
                  <to>
                    <xdr:col>7</xdr:col>
                    <xdr:colOff>95250</xdr:colOff>
                    <xdr:row>19</xdr:row>
                    <xdr:rowOff>266700</xdr:rowOff>
                  </to>
                </anchor>
              </controlPr>
            </control>
          </mc:Choice>
        </mc:AlternateContent>
        <mc:AlternateContent xmlns:mc="http://schemas.openxmlformats.org/markup-compatibility/2006">
          <mc:Choice Requires="x14">
            <control shapeId="2080" r:id="rId32" name="Check Box 32">
              <controlPr locked="0" defaultSize="0" autoFill="0" autoLine="0" autoPict="0">
                <anchor moveWithCells="1">
                  <from>
                    <xdr:col>6</xdr:col>
                    <xdr:colOff>11430</xdr:colOff>
                    <xdr:row>20</xdr:row>
                    <xdr:rowOff>57150</xdr:rowOff>
                  </from>
                  <to>
                    <xdr:col>7</xdr:col>
                    <xdr:colOff>95250</xdr:colOff>
                    <xdr:row>20</xdr:row>
                    <xdr:rowOff>285750</xdr:rowOff>
                  </to>
                </anchor>
              </controlPr>
            </control>
          </mc:Choice>
        </mc:AlternateContent>
        <mc:AlternateContent xmlns:mc="http://schemas.openxmlformats.org/markup-compatibility/2006">
          <mc:Choice Requires="x14">
            <control shapeId="2081" r:id="rId33" name="Check Box 33">
              <controlPr locked="0" defaultSize="0" autoFill="0" autoLine="0" autoPict="0">
                <anchor moveWithCells="1">
                  <from>
                    <xdr:col>4</xdr:col>
                    <xdr:colOff>11430</xdr:colOff>
                    <xdr:row>20</xdr:row>
                    <xdr:rowOff>57150</xdr:rowOff>
                  </from>
                  <to>
                    <xdr:col>5</xdr:col>
                    <xdr:colOff>95250</xdr:colOff>
                    <xdr:row>20</xdr:row>
                    <xdr:rowOff>285750</xdr:rowOff>
                  </to>
                </anchor>
              </controlPr>
            </control>
          </mc:Choice>
        </mc:AlternateContent>
        <mc:AlternateContent xmlns:mc="http://schemas.openxmlformats.org/markup-compatibility/2006">
          <mc:Choice Requires="x14">
            <control shapeId="2082" r:id="rId34" name="Check Box 34">
              <controlPr locked="0" defaultSize="0" autoFill="0" autoLine="0" autoPict="0">
                <anchor moveWithCells="1">
                  <from>
                    <xdr:col>8</xdr:col>
                    <xdr:colOff>0</xdr:colOff>
                    <xdr:row>17</xdr:row>
                    <xdr:rowOff>87630</xdr:rowOff>
                  </from>
                  <to>
                    <xdr:col>9</xdr:col>
                    <xdr:colOff>87630</xdr:colOff>
                    <xdr:row>17</xdr:row>
                    <xdr:rowOff>316230</xdr:rowOff>
                  </to>
                </anchor>
              </controlPr>
            </control>
          </mc:Choice>
        </mc:AlternateContent>
        <mc:AlternateContent xmlns:mc="http://schemas.openxmlformats.org/markup-compatibility/2006">
          <mc:Choice Requires="x14">
            <control shapeId="2083" r:id="rId35" name="Check Box 35">
              <controlPr locked="0" defaultSize="0" autoFill="0" autoLine="0" autoPict="0">
                <anchor moveWithCells="1">
                  <from>
                    <xdr:col>6</xdr:col>
                    <xdr:colOff>11430</xdr:colOff>
                    <xdr:row>7</xdr:row>
                    <xdr:rowOff>68580</xdr:rowOff>
                  </from>
                  <to>
                    <xdr:col>7</xdr:col>
                    <xdr:colOff>95250</xdr:colOff>
                    <xdr:row>7</xdr:row>
                    <xdr:rowOff>297180</xdr:rowOff>
                  </to>
                </anchor>
              </controlPr>
            </control>
          </mc:Choice>
        </mc:AlternateContent>
        <mc:AlternateContent xmlns:mc="http://schemas.openxmlformats.org/markup-compatibility/2006">
          <mc:Choice Requires="x14">
            <control shapeId="2084" r:id="rId36" name="Button 36">
              <controlPr defaultSize="0" print="0" autoFill="0" autoPict="0" macro="[0]!UncheckAll_Click" altText="Uncheck All">
                <anchor moveWithCells="1" sizeWithCells="1">
                  <from>
                    <xdr:col>11</xdr:col>
                    <xdr:colOff>552450</xdr:colOff>
                    <xdr:row>3</xdr:row>
                    <xdr:rowOff>0</xdr:rowOff>
                  </from>
                  <to>
                    <xdr:col>12</xdr:col>
                    <xdr:colOff>0</xdr:colOff>
                    <xdr:row>3</xdr:row>
                    <xdr:rowOff>278130</xdr:rowOff>
                  </to>
                </anchor>
              </controlPr>
            </control>
          </mc:Choice>
        </mc:AlternateContent>
        <mc:AlternateContent xmlns:mc="http://schemas.openxmlformats.org/markup-compatibility/2006">
          <mc:Choice Requires="x14">
            <control shapeId="2085" r:id="rId37" name="Check Box 37">
              <controlPr locked="0" defaultSize="0" autoFill="0" autoLine="0" autoPict="0">
                <anchor moveWithCells="1">
                  <from>
                    <xdr:col>6</xdr:col>
                    <xdr:colOff>11430</xdr:colOff>
                    <xdr:row>17</xdr:row>
                    <xdr:rowOff>68580</xdr:rowOff>
                  </from>
                  <to>
                    <xdr:col>7</xdr:col>
                    <xdr:colOff>95250</xdr:colOff>
                    <xdr:row>17</xdr:row>
                    <xdr:rowOff>297180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DAF5A-2984-4310-97A4-C62424E28CD8}">
  <sheetPr codeName="Sheet5">
    <tabColor rgb="FFFFFF00"/>
  </sheetPr>
  <dimension ref="A1:M62"/>
  <sheetViews>
    <sheetView showGridLines="0" showRowColHeaders="0" zoomScaleNormal="100" zoomScaleSheetLayoutView="100" workbookViewId="0">
      <pane xSplit="1" ySplit="7" topLeftCell="B8" activePane="bottomRight" state="frozen"/>
      <selection activeCell="B56" sqref="B56"/>
      <selection pane="topRight" activeCell="B56" sqref="B56"/>
      <selection pane="bottomLeft" activeCell="B56" sqref="B56"/>
      <selection pane="bottomRight" activeCell="D2" sqref="D2:F2"/>
    </sheetView>
  </sheetViews>
  <sheetFormatPr defaultColWidth="9.15625" defaultRowHeight="12.3" x14ac:dyDescent="0.2"/>
  <cols>
    <col min="1" max="1" width="8.26171875" style="5" customWidth="1"/>
    <col min="2" max="2" width="25.578125" style="27" customWidth="1"/>
    <col min="3" max="3" width="3.68359375" style="18" customWidth="1"/>
    <col min="4" max="4" width="27.26171875" style="27" customWidth="1"/>
    <col min="5" max="5" width="3.68359375" style="18" customWidth="1"/>
    <col min="6" max="6" width="26.26171875" style="27" customWidth="1"/>
    <col min="7" max="7" width="3.68359375" style="18" customWidth="1"/>
    <col min="8" max="8" width="28.15625" style="27" customWidth="1"/>
    <col min="9" max="9" width="3.68359375" style="18" customWidth="1"/>
    <col min="10" max="10" width="26.578125" style="27" customWidth="1"/>
    <col min="11" max="11" width="3.68359375" style="18" customWidth="1"/>
    <col min="12" max="12" width="22.578125" style="27" customWidth="1"/>
    <col min="13" max="13" width="3.68359375" style="18" customWidth="1"/>
    <col min="14" max="16" width="10.68359375" style="2" customWidth="1"/>
    <col min="17" max="16384" width="9.15625" style="2"/>
  </cols>
  <sheetData>
    <row r="1" spans="1:13" ht="10" customHeight="1" thickBot="1" x14ac:dyDescent="0.25">
      <c r="A1" s="55"/>
      <c r="B1" s="56"/>
      <c r="C1" s="57"/>
      <c r="D1" s="56"/>
      <c r="E1" s="57"/>
      <c r="F1" s="56"/>
      <c r="G1" s="57"/>
      <c r="H1" s="56"/>
      <c r="I1" s="57"/>
      <c r="J1" s="56"/>
      <c r="K1" s="57"/>
      <c r="L1" s="56"/>
      <c r="M1" s="57"/>
    </row>
    <row r="2" spans="1:13" ht="25" customHeight="1" thickBot="1" x14ac:dyDescent="0.25">
      <c r="A2" s="55"/>
      <c r="B2" s="58" t="s">
        <v>143</v>
      </c>
      <c r="C2" s="59"/>
      <c r="D2" s="300" t="s">
        <v>144</v>
      </c>
      <c r="E2" s="300"/>
      <c r="F2" s="300"/>
      <c r="G2" s="57"/>
      <c r="H2" s="60" t="s">
        <v>92</v>
      </c>
      <c r="I2" s="57"/>
      <c r="J2" s="306" t="str">
        <f>IF(A25="Pathogenic (Ia)","Pathogenic (Ia)",IF(A26="Pathogenic (Ib)","Pathogenic (Ib)",IF(A27="Pathogenic (Ic)","Pathogenic (Ic)",IF(A28="Pathogenic (Id)","Pathogenic (Id)",IF(A29="Pathogenic (II)","Pathogenic (II)",IF(A30="Pathogenic (IIIa)","Pathogenic (IIIa)",IF(A31="Pathogenic (IIIb)","Pathogenic (IIIb)",IF(A32="Pathogenic (IIIc)","Pathogenic (IIIc)",IF(A33="Likely Pathogenic (I)","Likely Pathogenic (I)",IF(A34="Likely Pathogenic (II)","Likely Pathogenic (II)",IF(A35="Likely Pathogenic (III)","Likely Pathogenic (III)",IF(A36="Likely Pathogenic (IV)","Likely Pathogenic (IV)",IF(A37="Likely Pathogenic (V)","Likely Pathogenic (V)",IF(A38="Likely Pathogenic (VI)","Likely Pathogenic (VI)",IF(A39="VUS - Insufficient evidence","VUS - Insufficient evidence",IF(A40="VUS - Conflicting evidence","VUS - Conflicting evidence",IF(A41="Likely Benign (I)","Likely Benign (I)",IF(A42="Likely Benign (II)","Likely Benign (II)",IF(A43="Benign (I)","Benign (I)",IF(A44="Benign (II)","Benign (II)"))))))))))))))))))))</f>
        <v>Likely Pathogenic (V)</v>
      </c>
      <c r="K2" s="307"/>
      <c r="L2" s="308"/>
      <c r="M2" s="57"/>
    </row>
    <row r="3" spans="1:13" ht="10" customHeight="1" x14ac:dyDescent="0.2">
      <c r="A3" s="61"/>
      <c r="B3" s="62"/>
      <c r="C3" s="63"/>
      <c r="D3" s="62"/>
      <c r="E3" s="63"/>
      <c r="F3" s="62"/>
      <c r="G3" s="63"/>
      <c r="H3" s="62"/>
      <c r="I3" s="63"/>
      <c r="J3" s="62"/>
      <c r="K3" s="63"/>
      <c r="L3" s="62"/>
      <c r="M3" s="63"/>
    </row>
    <row r="4" spans="1:13" s="32" customFormat="1" ht="23.1" customHeight="1" thickBot="1" x14ac:dyDescent="0.25">
      <c r="A4" s="64"/>
      <c r="B4" s="65" t="s">
        <v>117</v>
      </c>
      <c r="C4" s="59"/>
      <c r="D4" s="301" t="str">
        <f>IF(J2="Pathogenic (Ia)","PVS + PS (+ PS)",IF(J2="Pathogenic (Ib)","PVS + PM + PM (+ PM)",IF(J2="Pathogenic (Ic)","PVS + PM + PP",IF(J2="Pathogenic (Id)","PVS + PP + PP (+ PP)",IF(J2="Pathogenic (II)","PS + PS (+ PS)",IF(J2="Pathogenic (IIIa)","PS + PM + PM + PM (+ PM)",IF(J2="Pathogenic (IIIb)","PS + PM + PM + PP + PP (+ PP)",IF(J2="Pathogenic (IIIc)","PS + PM + PP + PP + PP + PP (+ PP)",IF(J2="Likely Pathogenic (I)","PVS + PM",IF(J2="Likely Pathogenic (II)","PS + PM (+ PM)",IF(J2="Likely Pathogenic (III)","PS + PP + PP (+ PP)",IF(J2="Likely Pathogenic (IV)","PM + PM + PM (+ PM)",IF(J2="Likely Pathogenic (V)","PM + PM + PP + PP (+ PP)",IF(J2="Likely Pathogenic (VI)","PM + PP + PP + PP + PP (+ PP)",IF(J2="VUS - Insufficient evidence","Insufficient evidence",IF(J2="VUS - Conflicting evidence","Conflicting evidence",IF(J2="Likely Benign (I)","BS + BP",IF(J2="Likely Benign (II)","BP + BP (+ BP)",IF(J2="Benign (I)","BA1",IF(J2="Benign (II)","BS + BS (+ BS)"))))))))))))))))))))</f>
        <v>PM + PM + PP + PP (+ PP)</v>
      </c>
      <c r="E4" s="301"/>
      <c r="F4" s="301"/>
      <c r="G4" s="66"/>
      <c r="H4" s="156" t="s">
        <v>178</v>
      </c>
      <c r="I4" s="66"/>
      <c r="J4" s="162" t="s">
        <v>176</v>
      </c>
      <c r="K4" s="67"/>
      <c r="L4" s="164"/>
      <c r="M4" s="68"/>
    </row>
    <row r="5" spans="1:13" ht="10" customHeight="1" thickBot="1" x14ac:dyDescent="0.25">
      <c r="A5" s="60"/>
      <c r="B5" s="60"/>
      <c r="C5" s="60"/>
      <c r="D5" s="69"/>
      <c r="E5" s="69"/>
      <c r="F5" s="69"/>
      <c r="G5" s="63"/>
      <c r="H5" s="62"/>
      <c r="I5" s="63"/>
      <c r="J5" s="62"/>
      <c r="K5" s="63"/>
      <c r="L5" s="62"/>
      <c r="M5" s="63"/>
    </row>
    <row r="6" spans="1:13" s="17" customFormat="1" ht="18.75" customHeight="1" x14ac:dyDescent="0.55000000000000004">
      <c r="A6" s="289"/>
      <c r="B6" s="285" t="s">
        <v>5</v>
      </c>
      <c r="C6" s="286"/>
      <c r="D6" s="286"/>
      <c r="E6" s="287"/>
      <c r="F6" s="285" t="s">
        <v>0</v>
      </c>
      <c r="G6" s="286"/>
      <c r="H6" s="286"/>
      <c r="I6" s="286"/>
      <c r="J6" s="286"/>
      <c r="K6" s="286"/>
      <c r="L6" s="286"/>
      <c r="M6" s="287"/>
    </row>
    <row r="7" spans="1:13" ht="18" customHeight="1" thickBot="1" x14ac:dyDescent="0.6">
      <c r="A7" s="290"/>
      <c r="B7" s="296" t="s">
        <v>1</v>
      </c>
      <c r="C7" s="297"/>
      <c r="D7" s="294" t="s">
        <v>4</v>
      </c>
      <c r="E7" s="295"/>
      <c r="F7" s="292" t="s">
        <v>4</v>
      </c>
      <c r="G7" s="293"/>
      <c r="H7" s="291" t="s">
        <v>3</v>
      </c>
      <c r="I7" s="291"/>
      <c r="J7" s="303" t="s">
        <v>1</v>
      </c>
      <c r="K7" s="303"/>
      <c r="L7" s="304" t="s">
        <v>95</v>
      </c>
      <c r="M7" s="305"/>
    </row>
    <row r="8" spans="1:13" ht="43.5" customHeight="1" x14ac:dyDescent="0.2">
      <c r="A8" s="288" t="s">
        <v>104</v>
      </c>
      <c r="B8" s="88" t="s">
        <v>148</v>
      </c>
      <c r="C8" s="130" t="b">
        <v>0</v>
      </c>
      <c r="D8" s="89"/>
      <c r="E8" s="139"/>
      <c r="F8" s="261" t="s">
        <v>147</v>
      </c>
      <c r="G8" s="147" t="b">
        <v>0</v>
      </c>
      <c r="H8" s="260" t="s">
        <v>163</v>
      </c>
      <c r="I8" s="152" t="b">
        <v>1</v>
      </c>
      <c r="J8" s="313" t="s">
        <v>171</v>
      </c>
      <c r="K8" s="152" t="b">
        <v>0</v>
      </c>
      <c r="L8" s="92"/>
      <c r="M8" s="139"/>
    </row>
    <row r="9" spans="1:13" ht="32.1" customHeight="1" x14ac:dyDescent="0.2">
      <c r="A9" s="288"/>
      <c r="B9" s="93" t="s">
        <v>149</v>
      </c>
      <c r="C9" s="131" t="b">
        <v>0</v>
      </c>
      <c r="D9" s="89"/>
      <c r="E9" s="139"/>
      <c r="F9" s="94"/>
      <c r="G9" s="134"/>
      <c r="H9" s="260"/>
      <c r="I9" s="148"/>
      <c r="J9" s="314"/>
      <c r="K9" s="148"/>
      <c r="L9" s="92"/>
      <c r="M9" s="139"/>
    </row>
    <row r="10" spans="1:13" ht="45" customHeight="1" thickBot="1" x14ac:dyDescent="0.25">
      <c r="A10" s="284"/>
      <c r="B10" s="95" t="s">
        <v>150</v>
      </c>
      <c r="C10" s="132" t="b">
        <v>0</v>
      </c>
      <c r="D10" s="96"/>
      <c r="E10" s="140"/>
      <c r="F10" s="97"/>
      <c r="G10" s="135"/>
      <c r="H10" s="98"/>
      <c r="I10" s="149"/>
      <c r="J10" s="99"/>
      <c r="K10" s="149"/>
      <c r="L10" s="100"/>
      <c r="M10" s="140"/>
    </row>
    <row r="11" spans="1:13" ht="55" customHeight="1" x14ac:dyDescent="0.2">
      <c r="A11" s="283" t="s">
        <v>101</v>
      </c>
      <c r="B11" s="101"/>
      <c r="C11" s="133"/>
      <c r="D11" s="102" t="s">
        <v>152</v>
      </c>
      <c r="E11" s="141" t="b">
        <v>0</v>
      </c>
      <c r="F11" s="309" t="s">
        <v>170</v>
      </c>
      <c r="G11" s="136" t="b">
        <v>1</v>
      </c>
      <c r="H11" s="315" t="s">
        <v>173</v>
      </c>
      <c r="I11" s="318" t="b">
        <v>1</v>
      </c>
      <c r="J11" s="313" t="s">
        <v>172</v>
      </c>
      <c r="K11" s="136" t="b">
        <v>0</v>
      </c>
      <c r="L11" s="321" t="s">
        <v>174</v>
      </c>
      <c r="M11" s="145" t="b">
        <v>0</v>
      </c>
    </row>
    <row r="12" spans="1:13" ht="42" customHeight="1" x14ac:dyDescent="0.2">
      <c r="A12" s="288"/>
      <c r="B12" s="103"/>
      <c r="C12" s="134"/>
      <c r="D12" s="104" t="s">
        <v>153</v>
      </c>
      <c r="E12" s="142" t="b">
        <v>0</v>
      </c>
      <c r="F12" s="310"/>
      <c r="G12" s="148"/>
      <c r="H12" s="316"/>
      <c r="I12" s="319"/>
      <c r="J12" s="314"/>
      <c r="K12" s="148"/>
      <c r="L12" s="322"/>
      <c r="M12" s="153"/>
    </row>
    <row r="13" spans="1:13" ht="36" customHeight="1" x14ac:dyDescent="0.2">
      <c r="A13" s="288"/>
      <c r="B13" s="103"/>
      <c r="C13" s="134"/>
      <c r="D13" s="104" t="s">
        <v>154</v>
      </c>
      <c r="E13" s="142" t="b">
        <v>0</v>
      </c>
      <c r="F13" s="257"/>
      <c r="G13" s="148"/>
      <c r="H13" s="317"/>
      <c r="I13" s="320"/>
      <c r="J13" s="314"/>
      <c r="K13" s="148"/>
      <c r="L13" s="105"/>
      <c r="M13" s="153"/>
    </row>
    <row r="14" spans="1:13" ht="36" customHeight="1" thickBot="1" x14ac:dyDescent="0.25">
      <c r="A14" s="284"/>
      <c r="B14" s="107"/>
      <c r="C14" s="135"/>
      <c r="D14" s="108" t="s">
        <v>155</v>
      </c>
      <c r="E14" s="143" t="b">
        <v>0</v>
      </c>
      <c r="F14" s="109"/>
      <c r="G14" s="149"/>
      <c r="H14" s="110" t="s">
        <v>164</v>
      </c>
      <c r="I14" s="131" t="b">
        <v>0</v>
      </c>
      <c r="J14" s="99"/>
      <c r="K14" s="149"/>
      <c r="L14" s="111"/>
      <c r="M14" s="154"/>
    </row>
    <row r="15" spans="1:13" ht="58" customHeight="1" thickBot="1" x14ac:dyDescent="0.25">
      <c r="A15" s="31" t="s">
        <v>103</v>
      </c>
      <c r="B15" s="112" t="s">
        <v>177</v>
      </c>
      <c r="C15" s="136" t="b">
        <v>0</v>
      </c>
      <c r="D15" s="113"/>
      <c r="E15" s="144"/>
      <c r="F15" s="256" t="s">
        <v>160</v>
      </c>
      <c r="G15" s="136" t="b">
        <v>1</v>
      </c>
      <c r="H15" s="259" t="s">
        <v>165</v>
      </c>
      <c r="I15" s="136" t="b">
        <v>0</v>
      </c>
      <c r="J15" s="258" t="s">
        <v>168</v>
      </c>
      <c r="K15" s="136" t="b">
        <v>0</v>
      </c>
      <c r="L15" s="117"/>
      <c r="M15" s="155"/>
    </row>
    <row r="16" spans="1:13" ht="56.1" customHeight="1" thickBot="1" x14ac:dyDescent="0.25">
      <c r="A16" s="31" t="s">
        <v>102</v>
      </c>
      <c r="B16" s="112" t="s">
        <v>151</v>
      </c>
      <c r="C16" s="136" t="b">
        <v>0</v>
      </c>
      <c r="D16" s="113"/>
      <c r="E16" s="144"/>
      <c r="F16" s="256" t="s">
        <v>161</v>
      </c>
      <c r="G16" s="136" t="b">
        <v>0</v>
      </c>
      <c r="H16" s="259" t="s">
        <v>96</v>
      </c>
      <c r="I16" s="136" t="b">
        <v>0</v>
      </c>
      <c r="J16" s="258" t="s">
        <v>96</v>
      </c>
      <c r="K16" s="136" t="b">
        <v>0</v>
      </c>
      <c r="L16" s="117"/>
      <c r="M16" s="155"/>
    </row>
    <row r="17" spans="1:13" ht="36" customHeight="1" thickBot="1" x14ac:dyDescent="0.25">
      <c r="A17" s="31" t="s">
        <v>97</v>
      </c>
      <c r="B17" s="118"/>
      <c r="C17" s="133"/>
      <c r="D17" s="119"/>
      <c r="E17" s="144"/>
      <c r="F17" s="118"/>
      <c r="G17" s="133"/>
      <c r="H17" s="259" t="s">
        <v>166</v>
      </c>
      <c r="I17" s="136" t="b">
        <v>0</v>
      </c>
      <c r="J17" s="258" t="s">
        <v>169</v>
      </c>
      <c r="K17" s="136" t="b">
        <v>0</v>
      </c>
      <c r="L17" s="117"/>
      <c r="M17" s="155"/>
    </row>
    <row r="18" spans="1:13" ht="35.1" customHeight="1" x14ac:dyDescent="0.2">
      <c r="A18" s="283" t="s">
        <v>98</v>
      </c>
      <c r="B18" s="101"/>
      <c r="C18" s="133"/>
      <c r="D18" s="102" t="s">
        <v>156</v>
      </c>
      <c r="E18" s="141" t="b">
        <v>0</v>
      </c>
      <c r="F18" s="298" t="s">
        <v>146</v>
      </c>
      <c r="G18" s="150" t="b">
        <v>0</v>
      </c>
      <c r="H18" s="311" t="s">
        <v>167</v>
      </c>
      <c r="I18" s="136" t="b">
        <v>0</v>
      </c>
      <c r="J18" s="120"/>
      <c r="K18" s="133"/>
      <c r="L18" s="117"/>
      <c r="M18" s="144"/>
    </row>
    <row r="19" spans="1:13" ht="35.1" customHeight="1" thickBot="1" x14ac:dyDescent="0.25">
      <c r="A19" s="284"/>
      <c r="B19" s="107"/>
      <c r="C19" s="135"/>
      <c r="D19" s="108" t="s">
        <v>157</v>
      </c>
      <c r="E19" s="143" t="b">
        <v>0</v>
      </c>
      <c r="F19" s="299"/>
      <c r="G19" s="135"/>
      <c r="H19" s="312"/>
      <c r="I19" s="149"/>
      <c r="J19" s="121"/>
      <c r="K19" s="135"/>
      <c r="L19" s="100"/>
      <c r="M19" s="140"/>
    </row>
    <row r="20" spans="1:13" ht="55" customHeight="1" thickBot="1" x14ac:dyDescent="0.25">
      <c r="A20" s="31" t="s">
        <v>99</v>
      </c>
      <c r="B20" s="112"/>
      <c r="C20" s="137"/>
      <c r="D20" s="122" t="s">
        <v>158</v>
      </c>
      <c r="E20" s="145" t="b">
        <v>0</v>
      </c>
      <c r="F20" s="256" t="s">
        <v>175</v>
      </c>
      <c r="G20" s="136" t="b">
        <v>1</v>
      </c>
      <c r="H20" s="123"/>
      <c r="I20" s="133"/>
      <c r="J20" s="120"/>
      <c r="K20" s="133"/>
      <c r="L20" s="117"/>
      <c r="M20" s="155"/>
    </row>
    <row r="21" spans="1:13" ht="42" customHeight="1" thickBot="1" x14ac:dyDescent="0.25">
      <c r="A21" s="31" t="s">
        <v>100</v>
      </c>
      <c r="B21" s="124"/>
      <c r="C21" s="138"/>
      <c r="D21" s="125" t="s">
        <v>159</v>
      </c>
      <c r="E21" s="146" t="b">
        <v>0</v>
      </c>
      <c r="F21" s="126" t="s">
        <v>162</v>
      </c>
      <c r="G21" s="151" t="b">
        <v>0</v>
      </c>
      <c r="H21" s="127"/>
      <c r="I21" s="138"/>
      <c r="J21" s="128"/>
      <c r="K21" s="138"/>
      <c r="L21" s="129"/>
      <c r="M21" s="155"/>
    </row>
    <row r="22" spans="1:13" s="1" customFormat="1" ht="12.75" customHeight="1" x14ac:dyDescent="0.3">
      <c r="B22" s="302"/>
      <c r="C22" s="302"/>
      <c r="D22" s="302"/>
      <c r="E22" s="302"/>
      <c r="F22" s="302"/>
      <c r="G22" s="302"/>
      <c r="H22" s="302"/>
      <c r="I22" s="302"/>
      <c r="J22" s="302"/>
      <c r="K22" s="302"/>
      <c r="L22" s="302"/>
      <c r="M22" s="302"/>
    </row>
    <row r="23" spans="1:13" s="22" customFormat="1" hidden="1" x14ac:dyDescent="0.55000000000000004">
      <c r="A23" s="21"/>
      <c r="B23" s="26"/>
      <c r="C23" s="20">
        <f>COUNTIF(C8:C21,TRUE)</f>
        <v>0</v>
      </c>
      <c r="D23" s="26"/>
      <c r="E23" s="20">
        <f>COUNTIF(E8:E21,TRUE)</f>
        <v>0</v>
      </c>
      <c r="F23" s="26"/>
      <c r="G23" s="20">
        <f>COUNTIF(G8:G21,TRUE)</f>
        <v>3</v>
      </c>
      <c r="H23" s="26"/>
      <c r="I23" s="20">
        <f>COUNTIF(I8:I21,TRUE)</f>
        <v>2</v>
      </c>
      <c r="J23" s="26"/>
      <c r="K23" s="20">
        <f>COUNTIF(K8:K21,TRUE)</f>
        <v>0</v>
      </c>
      <c r="L23" s="26"/>
      <c r="M23" s="20">
        <f>COUNTIF(M8:M21,TRUE)</f>
        <v>0</v>
      </c>
    </row>
    <row r="24" spans="1:13" s="22" customFormat="1" hidden="1" x14ac:dyDescent="0.2">
      <c r="A24" s="21"/>
      <c r="B24" s="26"/>
      <c r="C24" s="19"/>
      <c r="D24" s="26"/>
      <c r="E24" s="19"/>
      <c r="F24" s="26"/>
      <c r="G24" s="19"/>
      <c r="H24" s="26"/>
      <c r="I24" s="19"/>
      <c r="J24" s="26"/>
      <c r="K24" s="19"/>
      <c r="L24" s="26"/>
      <c r="M24" s="19"/>
    </row>
    <row r="25" spans="1:13" s="22" customFormat="1" hidden="1" x14ac:dyDescent="0.2">
      <c r="A25" s="29" t="str">
        <f>IF(AND(A40=" ",M23=1,K23&gt;=1),"Pathogenic (Ia)"," ")</f>
        <v xml:space="preserve"> </v>
      </c>
      <c r="B25" s="26"/>
      <c r="C25" s="23" t="s">
        <v>8</v>
      </c>
      <c r="D25" s="26"/>
      <c r="E25" s="24" t="s">
        <v>85</v>
      </c>
      <c r="F25" s="26"/>
      <c r="G25" s="19"/>
      <c r="H25" s="26"/>
      <c r="I25" s="19"/>
      <c r="J25" s="26"/>
      <c r="K25" s="19"/>
      <c r="L25" s="26"/>
      <c r="M25" s="19"/>
    </row>
    <row r="26" spans="1:13" s="22" customFormat="1" hidden="1" x14ac:dyDescent="0.2">
      <c r="A26" s="29" t="str">
        <f>IF((AND(A40=" ",A25=" ",M23=1,I23&gt;=2)),"Pathogenic (Ib)"," ")</f>
        <v xml:space="preserve"> </v>
      </c>
      <c r="B26" s="26"/>
      <c r="C26" s="23" t="s">
        <v>13</v>
      </c>
      <c r="D26" s="26"/>
      <c r="E26" s="24" t="s">
        <v>86</v>
      </c>
      <c r="F26" s="26"/>
      <c r="G26" s="19"/>
      <c r="H26" s="26"/>
      <c r="I26" s="19"/>
      <c r="J26" s="26"/>
      <c r="K26" s="19"/>
      <c r="L26" s="26"/>
      <c r="M26" s="19"/>
    </row>
    <row r="27" spans="1:13" s="22" customFormat="1" hidden="1" x14ac:dyDescent="0.2">
      <c r="A27" s="29" t="str">
        <f>IF((AND(A40=" ",A25=" ",M23=1,I23=1,G23=1)),"Pathogenic (Ic)"," ")</f>
        <v xml:space="preserve"> </v>
      </c>
      <c r="B27" s="26"/>
      <c r="C27" s="23" t="s">
        <v>14</v>
      </c>
      <c r="D27" s="26"/>
      <c r="E27" s="24" t="s">
        <v>87</v>
      </c>
      <c r="F27" s="26"/>
      <c r="G27" s="19"/>
      <c r="H27" s="26"/>
      <c r="I27" s="19"/>
      <c r="J27" s="26"/>
      <c r="K27" s="19"/>
      <c r="L27" s="26"/>
      <c r="M27" s="19"/>
    </row>
    <row r="28" spans="1:13" s="22" customFormat="1" hidden="1" x14ac:dyDescent="0.2">
      <c r="A28" s="29" t="str">
        <f>IF((AND(A40=" ",A25=" ",A26=" ",M23=1,G23&gt;=2)),"Pathogenic (Id)"," ")</f>
        <v xml:space="preserve"> </v>
      </c>
      <c r="B28" s="26"/>
      <c r="C28" s="23" t="s">
        <v>15</v>
      </c>
      <c r="D28" s="26"/>
      <c r="E28" s="24" t="s">
        <v>88</v>
      </c>
      <c r="F28" s="26"/>
      <c r="G28" s="19"/>
      <c r="H28" s="26"/>
      <c r="I28" s="19"/>
      <c r="J28" s="26"/>
      <c r="K28" s="19"/>
      <c r="L28" s="26"/>
      <c r="M28" s="19"/>
    </row>
    <row r="29" spans="1:13" s="22" customFormat="1" hidden="1" x14ac:dyDescent="0.2">
      <c r="A29" s="29" t="str">
        <f>IF(AND(A40=" ",A25=" ",K23&gt;=2),"Pathogenic (II)"," ")</f>
        <v xml:space="preserve"> </v>
      </c>
      <c r="B29" s="26"/>
      <c r="C29" s="23" t="s">
        <v>16</v>
      </c>
      <c r="D29" s="26"/>
      <c r="E29" s="24" t="s">
        <v>7</v>
      </c>
      <c r="F29" s="26"/>
      <c r="G29" s="19"/>
      <c r="H29" s="26"/>
      <c r="I29" s="19"/>
      <c r="J29" s="26"/>
      <c r="K29" s="19"/>
      <c r="L29" s="26"/>
      <c r="M29" s="19"/>
    </row>
    <row r="30" spans="1:13" s="22" customFormat="1" hidden="1" x14ac:dyDescent="0.2">
      <c r="A30" s="29" t="str">
        <f>IF((AND(A40=" ",A25=" ",K23=1,I23&gt;=3)),"Pathogenic (IIIa)"," ")</f>
        <v xml:space="preserve"> </v>
      </c>
      <c r="B30" s="26"/>
      <c r="C30" s="23" t="s">
        <v>17</v>
      </c>
      <c r="D30" s="26"/>
      <c r="E30" s="24" t="s">
        <v>89</v>
      </c>
      <c r="F30" s="26"/>
      <c r="G30" s="19"/>
      <c r="H30" s="26"/>
      <c r="I30" s="19"/>
      <c r="J30" s="26"/>
      <c r="K30" s="19"/>
      <c r="L30" s="26"/>
      <c r="M30" s="19"/>
    </row>
    <row r="31" spans="1:13" s="22" customFormat="1" hidden="1" x14ac:dyDescent="0.2">
      <c r="A31" s="29" t="str">
        <f>IF((AND(A40=" ",A25=" ",A30=" ",K23=1,I23=2,G23&gt;=2)),"Pathogenic (IIIb)"," ")</f>
        <v xml:space="preserve"> </v>
      </c>
      <c r="B31" s="26"/>
      <c r="C31" s="23" t="s">
        <v>18</v>
      </c>
      <c r="D31" s="26"/>
      <c r="E31" s="24" t="s">
        <v>90</v>
      </c>
      <c r="F31" s="26"/>
      <c r="G31" s="19"/>
      <c r="H31" s="26"/>
      <c r="I31" s="19"/>
      <c r="J31" s="26"/>
      <c r="K31" s="19"/>
      <c r="L31" s="26"/>
      <c r="M31" s="19"/>
    </row>
    <row r="32" spans="1:13" s="22" customFormat="1" hidden="1" x14ac:dyDescent="0.2">
      <c r="A32" s="29" t="str">
        <f>IF((AND(A40=" ",A25=" ",K23=1,I23=1,G23&gt;=4)),"Pathogenic (IIIc)"," ")</f>
        <v xml:space="preserve"> </v>
      </c>
      <c r="B32" s="26"/>
      <c r="C32" s="23" t="s">
        <v>19</v>
      </c>
      <c r="D32" s="26"/>
      <c r="E32" s="24" t="s">
        <v>91</v>
      </c>
      <c r="F32" s="26"/>
      <c r="G32" s="19"/>
      <c r="H32" s="26"/>
      <c r="I32" s="19"/>
      <c r="J32" s="26"/>
      <c r="K32" s="19"/>
      <c r="L32" s="26"/>
      <c r="M32" s="19"/>
    </row>
    <row r="33" spans="1:13" s="22" customFormat="1" hidden="1" x14ac:dyDescent="0.2">
      <c r="A33" s="29" t="str">
        <f>IF((AND(A40=" ",A25=" ",A26=" ",A28=" ",M23=1,I23=1)),"Likely Pathogenic (I)"," ")</f>
        <v xml:space="preserve"> </v>
      </c>
      <c r="B33" s="26"/>
      <c r="C33" s="23" t="s">
        <v>9</v>
      </c>
      <c r="D33" s="26"/>
      <c r="E33" s="24" t="s">
        <v>23</v>
      </c>
      <c r="F33" s="26"/>
      <c r="G33" s="19"/>
      <c r="H33" s="26"/>
      <c r="I33" s="19"/>
      <c r="J33" s="26"/>
      <c r="K33" s="19"/>
      <c r="L33" s="26"/>
      <c r="M33" s="19"/>
    </row>
    <row r="34" spans="1:13" s="22" customFormat="1" hidden="1" x14ac:dyDescent="0.2">
      <c r="A34" s="29" t="str">
        <f>IF((AND(A40=" ",A25=" ",K23=1,I23&gt;0,I23&lt;=2)),"Likely Pathogenic (II)"," ")</f>
        <v xml:space="preserve"> </v>
      </c>
      <c r="B34" s="26"/>
      <c r="C34" s="23" t="s">
        <v>20</v>
      </c>
      <c r="D34" s="26"/>
      <c r="E34" s="24" t="s">
        <v>24</v>
      </c>
      <c r="F34" s="26"/>
      <c r="G34" s="19"/>
      <c r="H34" s="26"/>
      <c r="I34" s="19"/>
      <c r="J34" s="26"/>
      <c r="K34" s="19"/>
      <c r="L34" s="26"/>
      <c r="M34" s="19"/>
    </row>
    <row r="35" spans="1:13" s="22" customFormat="1" hidden="1" x14ac:dyDescent="0.2">
      <c r="A35" s="29" t="str">
        <f>IF((AND(A40=" ",A25=" ",A27=" ",A28=" ",A31=" ",A34=" ",K23=1,G23&gt;=2)),"Likely Pathogenic (III)"," ")</f>
        <v xml:space="preserve"> </v>
      </c>
      <c r="B35" s="26"/>
      <c r="C35" s="23" t="s">
        <v>11</v>
      </c>
      <c r="D35" s="26"/>
      <c r="E35" s="24" t="s">
        <v>25</v>
      </c>
      <c r="F35" s="26"/>
      <c r="G35" s="19"/>
      <c r="H35" s="26"/>
      <c r="I35" s="19"/>
      <c r="J35" s="26"/>
      <c r="K35" s="19"/>
      <c r="L35" s="26"/>
      <c r="M35" s="19"/>
    </row>
    <row r="36" spans="1:13" s="22" customFormat="1" hidden="1" x14ac:dyDescent="0.2">
      <c r="A36" s="29" t="str">
        <f>IF((AND(A40=" ",A25=" ",A26=" ",A27=" ",A28=" ",I23&gt;=3)),"Likely Pathogenic (IV)"," ")</f>
        <v xml:space="preserve"> </v>
      </c>
      <c r="B36" s="26"/>
      <c r="C36" s="23" t="s">
        <v>21</v>
      </c>
      <c r="D36" s="26"/>
      <c r="E36" s="24" t="s">
        <v>26</v>
      </c>
      <c r="F36" s="26"/>
      <c r="G36" s="19"/>
      <c r="H36" s="26"/>
      <c r="I36" s="19"/>
      <c r="J36" s="26"/>
      <c r="K36" s="19"/>
      <c r="L36" s="26"/>
      <c r="M36" s="19"/>
    </row>
    <row r="37" spans="1:13" s="22" customFormat="1" hidden="1" x14ac:dyDescent="0.2">
      <c r="A37" s="29" t="str">
        <f>IF((AND(A40=" ",A25=" ",A26=" ",A27=" ",A28=" ",A29=" ",I23=2,G23&gt;=2)),"Likely Pathogenic (V)"," ")</f>
        <v>Likely Pathogenic (V)</v>
      </c>
      <c r="B37" s="26"/>
      <c r="C37" s="23" t="s">
        <v>12</v>
      </c>
      <c r="D37" s="26"/>
      <c r="E37" s="24" t="s">
        <v>27</v>
      </c>
      <c r="F37" s="26"/>
      <c r="G37" s="19"/>
      <c r="H37" s="26"/>
      <c r="I37" s="19"/>
      <c r="J37" s="26"/>
      <c r="K37" s="19"/>
      <c r="L37" s="26"/>
      <c r="M37" s="19"/>
    </row>
    <row r="38" spans="1:13" s="22" customFormat="1" hidden="1" x14ac:dyDescent="0.2">
      <c r="A38" s="29" t="str">
        <f>IF((AND(A40=" ",A25=" ",A27=" ",A28=" ",A37=" ",I23=1,G23&gt;=4)),"Likely Pathogenic (VI)"," ")</f>
        <v xml:space="preserve"> </v>
      </c>
      <c r="B38" s="26"/>
      <c r="C38" s="23" t="s">
        <v>22</v>
      </c>
      <c r="D38" s="26"/>
      <c r="E38" s="24" t="s">
        <v>10</v>
      </c>
      <c r="F38" s="26"/>
      <c r="G38" s="19"/>
      <c r="H38" s="26"/>
      <c r="I38" s="19"/>
      <c r="J38" s="26"/>
      <c r="K38" s="19"/>
      <c r="L38" s="26"/>
      <c r="M38" s="19"/>
    </row>
    <row r="39" spans="1:13" s="22" customFormat="1" hidden="1" x14ac:dyDescent="0.2">
      <c r="A39" s="29" t="str">
        <f>IF((AND(A25=" ",A26=" ",A27=" ",A28=" ",A29=" ",A30=" ",A31=" ",A32=" ",A33=" ",A34=" ",A35=" ",A36=" ",A37=" ",A38=" ",A40=" ",A41= " ",A42=" ",A43=" ",A44=" ")),"VUS - Insufficient evidence"," ")</f>
        <v xml:space="preserve"> </v>
      </c>
      <c r="B39" s="26"/>
      <c r="C39" s="23" t="s">
        <v>38</v>
      </c>
      <c r="D39" s="26"/>
      <c r="E39" s="24" t="s">
        <v>37</v>
      </c>
      <c r="F39" s="26"/>
      <c r="G39" s="19"/>
      <c r="H39" s="26"/>
      <c r="I39" s="19"/>
      <c r="J39" s="26"/>
      <c r="K39" s="19"/>
      <c r="L39" s="26"/>
      <c r="M39" s="19"/>
    </row>
    <row r="40" spans="1:13" s="22" customFormat="1" hidden="1" x14ac:dyDescent="0.2">
      <c r="A40" s="29" t="str">
        <f>IF(AND(OR(C23&gt;=1,E23&gt;=1,F13&gt;=1),OR(G23&gt;=1,I23&gt;=1,K23&gt;=1,M23&gt;=1)),"VUS - Conflicting evidence"," ")</f>
        <v xml:space="preserve"> </v>
      </c>
      <c r="B40" s="26"/>
      <c r="C40" s="23" t="s">
        <v>39</v>
      </c>
      <c r="D40" s="26"/>
      <c r="E40" s="24" t="s">
        <v>36</v>
      </c>
      <c r="F40" s="26"/>
      <c r="G40" s="19"/>
      <c r="H40" s="26"/>
      <c r="I40" s="19"/>
      <c r="J40" s="26"/>
      <c r="K40" s="19"/>
      <c r="L40" s="26"/>
      <c r="M40" s="19"/>
    </row>
    <row r="41" spans="1:13" s="22" customFormat="1" hidden="1" x14ac:dyDescent="0.2">
      <c r="A41" s="29" t="str">
        <f>IF(AND(A40=" ",A43=" ",C23=1,E23&gt;=1),"Likely benign (I)"," ")</f>
        <v xml:space="preserve"> </v>
      </c>
      <c r="B41" s="26"/>
      <c r="C41" s="23" t="s">
        <v>34</v>
      </c>
      <c r="D41" s="26"/>
      <c r="E41" s="24" t="s">
        <v>33</v>
      </c>
      <c r="F41" s="26"/>
      <c r="G41" s="19"/>
      <c r="H41" s="26"/>
      <c r="I41" s="19"/>
      <c r="J41" s="26"/>
      <c r="K41" s="19"/>
      <c r="L41" s="26"/>
      <c r="M41" s="19"/>
    </row>
    <row r="42" spans="1:13" s="22" customFormat="1" hidden="1" x14ac:dyDescent="0.2">
      <c r="A42" s="29" t="str">
        <f>IF(AND(A40=" ",A41=" ",A43=" ",A44=" ",E23&gt;=2),"Likely benign (II)"," ")</f>
        <v xml:space="preserve"> </v>
      </c>
      <c r="B42" s="26"/>
      <c r="C42" s="23" t="s">
        <v>35</v>
      </c>
      <c r="D42" s="26"/>
      <c r="E42" s="24" t="s">
        <v>32</v>
      </c>
      <c r="F42" s="26"/>
      <c r="G42" s="19"/>
      <c r="H42" s="26"/>
      <c r="I42" s="19"/>
      <c r="J42" s="26"/>
      <c r="K42" s="19"/>
      <c r="L42" s="26"/>
      <c r="M42" s="19"/>
    </row>
    <row r="43" spans="1:13" s="22" customFormat="1" hidden="1" x14ac:dyDescent="0.2">
      <c r="A43" s="29" t="str">
        <f>IF(AND(A40=" ",C8=TRUE),"Benign (I)"," ")</f>
        <v xml:space="preserve"> </v>
      </c>
      <c r="B43" s="26"/>
      <c r="C43" s="23" t="s">
        <v>30</v>
      </c>
      <c r="D43" s="26"/>
      <c r="E43" s="24" t="s">
        <v>29</v>
      </c>
      <c r="F43" s="26"/>
      <c r="G43" s="19"/>
      <c r="H43" s="26"/>
      <c r="I43" s="19"/>
      <c r="J43" s="26"/>
      <c r="K43" s="19"/>
      <c r="L43" s="26"/>
      <c r="M43" s="19"/>
    </row>
    <row r="44" spans="1:13" s="22" customFormat="1" hidden="1" x14ac:dyDescent="0.2">
      <c r="A44" s="29" t="str">
        <f>IF(AND(A40=" ",A41=" ",A43=" ",C23&gt;=2),"Benign (II)"," ")</f>
        <v xml:space="preserve"> </v>
      </c>
      <c r="B44" s="26"/>
      <c r="C44" s="23" t="s">
        <v>31</v>
      </c>
      <c r="D44" s="26"/>
      <c r="E44" s="24" t="s">
        <v>28</v>
      </c>
      <c r="F44" s="26"/>
      <c r="G44" s="19"/>
      <c r="H44" s="26"/>
      <c r="I44" s="19"/>
      <c r="J44" s="26"/>
      <c r="K44" s="19"/>
      <c r="L44" s="26"/>
      <c r="M44" s="19"/>
    </row>
    <row r="45" spans="1:13" s="22" customFormat="1" x14ac:dyDescent="0.4">
      <c r="A45" s="21"/>
      <c r="B45" s="20"/>
      <c r="C45" s="30"/>
      <c r="D45" s="20"/>
      <c r="E45" s="30"/>
      <c r="F45" s="20"/>
      <c r="G45" s="30"/>
      <c r="H45" s="20"/>
      <c r="I45" s="30"/>
      <c r="J45" s="20"/>
      <c r="K45" s="30"/>
      <c r="L45" s="20"/>
      <c r="M45" s="30"/>
    </row>
    <row r="46" spans="1:13" x14ac:dyDescent="0.4">
      <c r="B46" s="3"/>
      <c r="C46" s="16"/>
      <c r="D46" s="3"/>
      <c r="E46" s="16"/>
      <c r="F46" s="3"/>
      <c r="G46" s="16"/>
      <c r="H46" s="3"/>
      <c r="I46" s="16"/>
      <c r="J46" s="3"/>
      <c r="K46" s="16"/>
      <c r="L46" s="3"/>
      <c r="M46" s="16"/>
    </row>
    <row r="47" spans="1:13" x14ac:dyDescent="0.4">
      <c r="B47" s="3"/>
      <c r="C47" s="16"/>
      <c r="D47" s="3"/>
      <c r="E47" s="16"/>
      <c r="F47" s="3"/>
      <c r="G47" s="16"/>
      <c r="H47" s="3"/>
      <c r="I47" s="16"/>
      <c r="J47" s="3"/>
      <c r="K47" s="16"/>
      <c r="L47" s="3"/>
      <c r="M47" s="16"/>
    </row>
    <row r="48" spans="1:13" x14ac:dyDescent="0.4">
      <c r="B48" s="3"/>
      <c r="C48" s="16"/>
      <c r="D48" s="3"/>
      <c r="E48" s="16"/>
      <c r="F48" s="3"/>
      <c r="G48" s="16"/>
      <c r="H48" s="3"/>
      <c r="I48" s="16"/>
      <c r="J48" s="3"/>
      <c r="K48" s="16"/>
      <c r="L48" s="3"/>
      <c r="M48" s="16"/>
    </row>
    <row r="49" spans="2:13" x14ac:dyDescent="0.4">
      <c r="B49" s="3"/>
      <c r="C49" s="16"/>
      <c r="D49" s="3"/>
      <c r="E49" s="16"/>
      <c r="F49" s="3"/>
      <c r="G49" s="16"/>
      <c r="H49" s="3"/>
      <c r="I49" s="16"/>
      <c r="J49" s="3"/>
      <c r="K49" s="16"/>
      <c r="L49" s="3"/>
      <c r="M49" s="16"/>
    </row>
    <row r="50" spans="2:13" x14ac:dyDescent="0.4">
      <c r="B50" s="3"/>
      <c r="C50" s="16"/>
      <c r="D50" s="3"/>
      <c r="E50" s="16"/>
      <c r="F50" s="3"/>
      <c r="G50" s="16"/>
      <c r="H50" s="3"/>
      <c r="I50" s="16"/>
      <c r="J50" s="3"/>
      <c r="K50" s="16"/>
      <c r="L50" s="3"/>
      <c r="M50" s="16"/>
    </row>
    <row r="51" spans="2:13" x14ac:dyDescent="0.4">
      <c r="B51" s="3"/>
      <c r="C51" s="16"/>
      <c r="D51" s="3"/>
      <c r="E51" s="16"/>
      <c r="F51" s="3"/>
      <c r="G51" s="16"/>
      <c r="H51" s="3"/>
      <c r="I51" s="16"/>
      <c r="J51" s="3"/>
      <c r="K51" s="16"/>
      <c r="L51" s="3"/>
      <c r="M51" s="16"/>
    </row>
    <row r="52" spans="2:13" x14ac:dyDescent="0.4">
      <c r="B52" s="3"/>
      <c r="C52" s="16"/>
      <c r="D52" s="3"/>
      <c r="E52" s="16"/>
      <c r="F52" s="3"/>
      <c r="G52" s="16"/>
      <c r="H52" s="3"/>
      <c r="I52" s="16"/>
      <c r="J52" s="3"/>
      <c r="K52" s="16"/>
      <c r="L52" s="3"/>
      <c r="M52" s="16"/>
    </row>
    <row r="53" spans="2:13" x14ac:dyDescent="0.4">
      <c r="B53" s="3"/>
      <c r="C53" s="16"/>
      <c r="D53" s="3"/>
      <c r="E53" s="16"/>
      <c r="F53" s="3"/>
      <c r="G53" s="16"/>
      <c r="H53" s="3"/>
      <c r="I53" s="16"/>
      <c r="J53" s="3"/>
      <c r="K53" s="16"/>
      <c r="L53" s="3"/>
      <c r="M53" s="16"/>
    </row>
    <row r="54" spans="2:13" x14ac:dyDescent="0.4">
      <c r="B54" s="3"/>
      <c r="C54" s="16"/>
      <c r="D54" s="3"/>
      <c r="E54" s="16"/>
      <c r="F54" s="3"/>
      <c r="G54" s="16"/>
      <c r="H54" s="3"/>
      <c r="I54" s="16"/>
      <c r="J54" s="3"/>
      <c r="K54" s="16"/>
      <c r="L54" s="3"/>
      <c r="M54" s="16"/>
    </row>
    <row r="55" spans="2:13" x14ac:dyDescent="0.4">
      <c r="B55" s="3"/>
      <c r="C55" s="16"/>
      <c r="D55" s="3"/>
      <c r="E55" s="16"/>
      <c r="F55" s="3"/>
      <c r="G55" s="16"/>
      <c r="H55" s="3"/>
      <c r="I55" s="16"/>
      <c r="J55" s="3"/>
      <c r="K55" s="16"/>
      <c r="L55" s="3"/>
      <c r="M55" s="16"/>
    </row>
    <row r="56" spans="2:13" x14ac:dyDescent="0.4">
      <c r="B56" s="3"/>
      <c r="C56" s="16"/>
      <c r="D56" s="3"/>
      <c r="E56" s="16"/>
      <c r="F56" s="3"/>
      <c r="G56" s="16"/>
      <c r="H56" s="3"/>
      <c r="I56" s="16"/>
      <c r="J56" s="3"/>
      <c r="K56" s="16"/>
      <c r="L56" s="3"/>
      <c r="M56" s="16"/>
    </row>
    <row r="57" spans="2:13" x14ac:dyDescent="0.4">
      <c r="B57" s="3"/>
      <c r="C57" s="16"/>
      <c r="D57" s="3"/>
      <c r="E57" s="16"/>
      <c r="F57" s="3"/>
      <c r="G57" s="16"/>
      <c r="H57" s="3"/>
      <c r="I57" s="16"/>
      <c r="J57" s="3"/>
      <c r="K57" s="16"/>
      <c r="L57" s="3"/>
      <c r="M57" s="16"/>
    </row>
    <row r="58" spans="2:13" x14ac:dyDescent="0.4">
      <c r="B58" s="3"/>
      <c r="C58" s="16"/>
      <c r="D58" s="3"/>
      <c r="E58" s="16"/>
      <c r="F58" s="3"/>
      <c r="G58" s="16"/>
      <c r="H58" s="3"/>
      <c r="I58" s="16"/>
      <c r="J58" s="3"/>
      <c r="K58" s="16"/>
      <c r="L58" s="3"/>
      <c r="M58" s="16"/>
    </row>
    <row r="59" spans="2:13" x14ac:dyDescent="0.4">
      <c r="B59" s="3"/>
      <c r="C59" s="16"/>
      <c r="D59" s="3"/>
      <c r="E59" s="16"/>
      <c r="F59" s="3"/>
      <c r="G59" s="16"/>
      <c r="H59" s="3"/>
      <c r="I59" s="16"/>
      <c r="J59" s="3"/>
      <c r="K59" s="16"/>
      <c r="L59" s="3"/>
      <c r="M59" s="16"/>
    </row>
    <row r="60" spans="2:13" x14ac:dyDescent="0.4">
      <c r="B60" s="3"/>
      <c r="C60" s="16"/>
      <c r="D60" s="3"/>
      <c r="E60" s="16"/>
      <c r="F60" s="3"/>
      <c r="G60" s="16"/>
      <c r="H60" s="3"/>
      <c r="I60" s="16"/>
      <c r="J60" s="3"/>
      <c r="K60" s="16"/>
      <c r="L60" s="3"/>
      <c r="M60" s="16"/>
    </row>
    <row r="61" spans="2:13" x14ac:dyDescent="0.4">
      <c r="B61" s="3"/>
      <c r="C61" s="16"/>
      <c r="D61" s="3"/>
      <c r="E61" s="16"/>
      <c r="F61" s="3"/>
      <c r="G61" s="16"/>
      <c r="H61" s="3"/>
      <c r="I61" s="16"/>
      <c r="J61" s="3"/>
      <c r="K61" s="16"/>
      <c r="L61" s="3"/>
      <c r="M61" s="16"/>
    </row>
    <row r="62" spans="2:13" x14ac:dyDescent="0.4">
      <c r="B62" s="3"/>
      <c r="C62" s="16"/>
      <c r="D62" s="3"/>
      <c r="E62" s="16"/>
      <c r="F62" s="3"/>
      <c r="G62" s="16"/>
      <c r="H62" s="3"/>
      <c r="I62" s="16"/>
      <c r="J62" s="3"/>
      <c r="K62" s="16"/>
      <c r="L62" s="3"/>
      <c r="M62" s="16"/>
    </row>
  </sheetData>
  <sheetProtection algorithmName="SHA-512" hashValue="MckLrYch7F2zMiuBlQeIY3mOZTi4CrcI3Xw4RZVDnhiNyYTIk9ED78UbPIQEbOIUmldKL52gHt84ttUSMSOlJw==" saltValue="OByc4Z4aNpFE9QR+BIHGiQ==" spinCount="100000" sheet="1" objects="1" scenarios="1" selectLockedCells="1"/>
  <mergeCells count="24">
    <mergeCell ref="A18:A19"/>
    <mergeCell ref="F18:F19"/>
    <mergeCell ref="H18:H19"/>
    <mergeCell ref="B22:M22"/>
    <mergeCell ref="J7:K7"/>
    <mergeCell ref="L7:M7"/>
    <mergeCell ref="A8:A10"/>
    <mergeCell ref="J8:J9"/>
    <mergeCell ref="A11:A14"/>
    <mergeCell ref="F11:F12"/>
    <mergeCell ref="H11:H13"/>
    <mergeCell ref="I11:I13"/>
    <mergeCell ref="J11:J13"/>
    <mergeCell ref="L11:L12"/>
    <mergeCell ref="D2:F2"/>
    <mergeCell ref="J2:L2"/>
    <mergeCell ref="D4:F4"/>
    <mergeCell ref="A6:A7"/>
    <mergeCell ref="B6:E6"/>
    <mergeCell ref="F6:M6"/>
    <mergeCell ref="B7:C7"/>
    <mergeCell ref="D7:E7"/>
    <mergeCell ref="F7:G7"/>
    <mergeCell ref="H7:I7"/>
  </mergeCells>
  <conditionalFormatting sqref="D5 J2">
    <cfRule type="containsText" dxfId="31" priority="5" operator="containsText" text="VUS">
      <formula>NOT(ISERROR(SEARCH("VUS",D2)))</formula>
    </cfRule>
    <cfRule type="containsText" dxfId="30" priority="6" operator="containsText" text="LIKELY PATHOGENIC">
      <formula>NOT(ISERROR(SEARCH("LIKELY PATHOGENIC",D2)))</formula>
    </cfRule>
    <cfRule type="containsText" dxfId="29" priority="7" operator="containsText" text="PATHOGENIC">
      <formula>NOT(ISERROR(SEARCH("PATHOGENIC",D2)))</formula>
    </cfRule>
    <cfRule type="containsText" dxfId="28" priority="8" operator="containsText" text="LIKELY BENIGN">
      <formula>NOT(ISERROR(SEARCH("LIKELY BENIGN",D2)))</formula>
    </cfRule>
    <cfRule type="containsText" dxfId="27" priority="9" operator="containsText" text="BENIGN">
      <formula>NOT(ISERROR(SEARCH("BENIGN",D2)))</formula>
    </cfRule>
  </conditionalFormatting>
  <conditionalFormatting sqref="D4:F4">
    <cfRule type="containsText" dxfId="26" priority="3" operator="containsText" text="Conflicting evidence">
      <formula>NOT(ISERROR(SEARCH("Conflicting evidence",D4)))</formula>
    </cfRule>
    <cfRule type="containsText" dxfId="25" priority="4" operator="containsText" text="Insufficient evidence">
      <formula>NOT(ISERROR(SEARCH("Insufficient evidence",D4)))</formula>
    </cfRule>
  </conditionalFormatting>
  <conditionalFormatting sqref="D2:F2">
    <cfRule type="containsText" dxfId="24" priority="1" operator="containsText" text="Conflicting evidence">
      <formula>NOT(ISERROR(SEARCH("Conflicting evidence",D2)))</formula>
    </cfRule>
    <cfRule type="containsText" dxfId="23" priority="2" operator="containsText" text="Insufficient evidence">
      <formula>NOT(ISERROR(SEARCH("Insufficient evidence",D2)))</formula>
    </cfRule>
  </conditionalFormatting>
  <printOptions horizontalCentered="1"/>
  <pageMargins left="0.23622047244094491" right="0.23622047244094491" top="0.35433070866141736" bottom="0.39370078740157483" header="0.31496062992125984" footer="0.31496062992125984"/>
  <pageSetup paperSize="9" scale="76" orientation="landscape" r:id="rId1"/>
  <headerFooter>
    <oddFooter>&amp;L&amp;"Verdana,Italic"&amp;8                 adapted from Richards, et al. 2015 Standards and guidelines for the interpretation of sequence variants.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Check Box 1">
              <controlPr locked="0" defaultSize="0" autoFill="0" autoLine="0" autoPict="0">
                <anchor moveWithCells="1">
                  <from>
                    <xdr:col>2</xdr:col>
                    <xdr:colOff>11430</xdr:colOff>
                    <xdr:row>7</xdr:row>
                    <xdr:rowOff>57150</xdr:rowOff>
                  </from>
                  <to>
                    <xdr:col>3</xdr:col>
                    <xdr:colOff>106680</xdr:colOff>
                    <xdr:row>7</xdr:row>
                    <xdr:rowOff>297180</xdr:rowOff>
                  </to>
                </anchor>
              </controlPr>
            </control>
          </mc:Choice>
        </mc:AlternateContent>
        <mc:AlternateContent xmlns:mc="http://schemas.openxmlformats.org/markup-compatibility/2006">
          <mc:Choice Requires="x14">
            <control shapeId="20482" r:id="rId5" name="Check Box 2">
              <controlPr locked="0" defaultSize="0" autoFill="0" autoLine="0" autoPict="0">
                <anchor moveWithCells="1">
                  <from>
                    <xdr:col>4</xdr:col>
                    <xdr:colOff>11430</xdr:colOff>
                    <xdr:row>10</xdr:row>
                    <xdr:rowOff>95250</xdr:rowOff>
                  </from>
                  <to>
                    <xdr:col>5</xdr:col>
                    <xdr:colOff>95250</xdr:colOff>
                    <xdr:row>10</xdr:row>
                    <xdr:rowOff>323850</xdr:rowOff>
                  </to>
                </anchor>
              </controlPr>
            </control>
          </mc:Choice>
        </mc:AlternateContent>
        <mc:AlternateContent xmlns:mc="http://schemas.openxmlformats.org/markup-compatibility/2006">
          <mc:Choice Requires="x14">
            <control shapeId="20483" r:id="rId6" name="Check Box 3">
              <controlPr locked="0" defaultSize="0" autoFill="0" autoLine="0" autoPict="0">
                <anchor moveWithCells="1">
                  <from>
                    <xdr:col>8</xdr:col>
                    <xdr:colOff>11430</xdr:colOff>
                    <xdr:row>7</xdr:row>
                    <xdr:rowOff>0</xdr:rowOff>
                  </from>
                  <to>
                    <xdr:col>9</xdr:col>
                    <xdr:colOff>95250</xdr:colOff>
                    <xdr:row>7</xdr:row>
                    <xdr:rowOff>297180</xdr:rowOff>
                  </to>
                </anchor>
              </controlPr>
            </control>
          </mc:Choice>
        </mc:AlternateContent>
        <mc:AlternateContent xmlns:mc="http://schemas.openxmlformats.org/markup-compatibility/2006">
          <mc:Choice Requires="x14">
            <control shapeId="20484" r:id="rId7" name="Check Box 4">
              <controlPr locked="0" defaultSize="0" autoFill="0" autoLine="0" autoPict="0">
                <anchor moveWithCells="1">
                  <from>
                    <xdr:col>10</xdr:col>
                    <xdr:colOff>19050</xdr:colOff>
                    <xdr:row>7</xdr:row>
                    <xdr:rowOff>19050</xdr:rowOff>
                  </from>
                  <to>
                    <xdr:col>11</xdr:col>
                    <xdr:colOff>106680</xdr:colOff>
                    <xdr:row>7</xdr:row>
                    <xdr:rowOff>285750</xdr:rowOff>
                  </to>
                </anchor>
              </controlPr>
            </control>
          </mc:Choice>
        </mc:AlternateContent>
        <mc:AlternateContent xmlns:mc="http://schemas.openxmlformats.org/markup-compatibility/2006">
          <mc:Choice Requires="x14">
            <control shapeId="20485" r:id="rId8" name="Check Box 5">
              <controlPr locked="0" defaultSize="0" autoFill="0" autoLine="0" autoPict="0">
                <anchor moveWithCells="1">
                  <from>
                    <xdr:col>2</xdr:col>
                    <xdr:colOff>19050</xdr:colOff>
                    <xdr:row>8</xdr:row>
                    <xdr:rowOff>76200</xdr:rowOff>
                  </from>
                  <to>
                    <xdr:col>3</xdr:col>
                    <xdr:colOff>125730</xdr:colOff>
                    <xdr:row>8</xdr:row>
                    <xdr:rowOff>316230</xdr:rowOff>
                  </to>
                </anchor>
              </controlPr>
            </control>
          </mc:Choice>
        </mc:AlternateContent>
        <mc:AlternateContent xmlns:mc="http://schemas.openxmlformats.org/markup-compatibility/2006">
          <mc:Choice Requires="x14">
            <control shapeId="20486" r:id="rId9" name="Check Box 6">
              <controlPr locked="0" defaultSize="0" autoFill="0" autoLine="0" autoPict="0">
                <anchor moveWithCells="1">
                  <from>
                    <xdr:col>2</xdr:col>
                    <xdr:colOff>11430</xdr:colOff>
                    <xdr:row>9</xdr:row>
                    <xdr:rowOff>163830</xdr:rowOff>
                  </from>
                  <to>
                    <xdr:col>3</xdr:col>
                    <xdr:colOff>106680</xdr:colOff>
                    <xdr:row>9</xdr:row>
                    <xdr:rowOff>392430</xdr:rowOff>
                  </to>
                </anchor>
              </controlPr>
            </control>
          </mc:Choice>
        </mc:AlternateContent>
        <mc:AlternateContent xmlns:mc="http://schemas.openxmlformats.org/markup-compatibility/2006">
          <mc:Choice Requires="x14">
            <control shapeId="20487" r:id="rId10" name="Check Box 7">
              <controlPr locked="0" defaultSize="0" autoFill="0" autoLine="0" autoPict="0">
                <anchor moveWithCells="1">
                  <from>
                    <xdr:col>4</xdr:col>
                    <xdr:colOff>11430</xdr:colOff>
                    <xdr:row>11</xdr:row>
                    <xdr:rowOff>76200</xdr:rowOff>
                  </from>
                  <to>
                    <xdr:col>5</xdr:col>
                    <xdr:colOff>95250</xdr:colOff>
                    <xdr:row>11</xdr:row>
                    <xdr:rowOff>316230</xdr:rowOff>
                  </to>
                </anchor>
              </controlPr>
            </control>
          </mc:Choice>
        </mc:AlternateContent>
        <mc:AlternateContent xmlns:mc="http://schemas.openxmlformats.org/markup-compatibility/2006">
          <mc:Choice Requires="x14">
            <control shapeId="20488" r:id="rId11" name="Check Box 8">
              <controlPr locked="0" defaultSize="0" autoFill="0" autoLine="0" autoPict="0">
                <anchor moveWithCells="1">
                  <from>
                    <xdr:col>4</xdr:col>
                    <xdr:colOff>11430</xdr:colOff>
                    <xdr:row>12</xdr:row>
                    <xdr:rowOff>68580</xdr:rowOff>
                  </from>
                  <to>
                    <xdr:col>5</xdr:col>
                    <xdr:colOff>95250</xdr:colOff>
                    <xdr:row>12</xdr:row>
                    <xdr:rowOff>297180</xdr:rowOff>
                  </to>
                </anchor>
              </controlPr>
            </control>
          </mc:Choice>
        </mc:AlternateContent>
        <mc:AlternateContent xmlns:mc="http://schemas.openxmlformats.org/markup-compatibility/2006">
          <mc:Choice Requires="x14">
            <control shapeId="20489" r:id="rId12" name="Check Box 9">
              <controlPr locked="0" defaultSize="0" autoFill="0" autoLine="0" autoPict="0">
                <anchor moveWithCells="1">
                  <from>
                    <xdr:col>4</xdr:col>
                    <xdr:colOff>11430</xdr:colOff>
                    <xdr:row>13</xdr:row>
                    <xdr:rowOff>76200</xdr:rowOff>
                  </from>
                  <to>
                    <xdr:col>5</xdr:col>
                    <xdr:colOff>95250</xdr:colOff>
                    <xdr:row>13</xdr:row>
                    <xdr:rowOff>316230</xdr:rowOff>
                  </to>
                </anchor>
              </controlPr>
            </control>
          </mc:Choice>
        </mc:AlternateContent>
        <mc:AlternateContent xmlns:mc="http://schemas.openxmlformats.org/markup-compatibility/2006">
          <mc:Choice Requires="x14">
            <control shapeId="20490" r:id="rId13" name="Check Box 10">
              <controlPr locked="0" defaultSize="0" autoFill="0" autoLine="0" autoPict="0">
                <anchor moveWithCells="1">
                  <from>
                    <xdr:col>6</xdr:col>
                    <xdr:colOff>11430</xdr:colOff>
                    <xdr:row>10</xdr:row>
                    <xdr:rowOff>95250</xdr:rowOff>
                  </from>
                  <to>
                    <xdr:col>7</xdr:col>
                    <xdr:colOff>95250</xdr:colOff>
                    <xdr:row>10</xdr:row>
                    <xdr:rowOff>323850</xdr:rowOff>
                  </to>
                </anchor>
              </controlPr>
            </control>
          </mc:Choice>
        </mc:AlternateContent>
        <mc:AlternateContent xmlns:mc="http://schemas.openxmlformats.org/markup-compatibility/2006">
          <mc:Choice Requires="x14">
            <control shapeId="20491" r:id="rId14" name="Check Box 11">
              <controlPr locked="0" defaultSize="0" autoFill="0" autoLine="0" autoPict="0">
                <anchor moveWithCells="1">
                  <from>
                    <xdr:col>8</xdr:col>
                    <xdr:colOff>11430</xdr:colOff>
                    <xdr:row>10</xdr:row>
                    <xdr:rowOff>95250</xdr:rowOff>
                  </from>
                  <to>
                    <xdr:col>9</xdr:col>
                    <xdr:colOff>95250</xdr:colOff>
                    <xdr:row>10</xdr:row>
                    <xdr:rowOff>323850</xdr:rowOff>
                  </to>
                </anchor>
              </controlPr>
            </control>
          </mc:Choice>
        </mc:AlternateContent>
        <mc:AlternateContent xmlns:mc="http://schemas.openxmlformats.org/markup-compatibility/2006">
          <mc:Choice Requires="x14">
            <control shapeId="20492" r:id="rId15" name="Check Box 12">
              <controlPr locked="0" defaultSize="0" autoFill="0" autoLine="0" autoPict="0">
                <anchor moveWithCells="1">
                  <from>
                    <xdr:col>8</xdr:col>
                    <xdr:colOff>11430</xdr:colOff>
                    <xdr:row>13</xdr:row>
                    <xdr:rowOff>87630</xdr:rowOff>
                  </from>
                  <to>
                    <xdr:col>9</xdr:col>
                    <xdr:colOff>95250</xdr:colOff>
                    <xdr:row>13</xdr:row>
                    <xdr:rowOff>323850</xdr:rowOff>
                  </to>
                </anchor>
              </controlPr>
            </control>
          </mc:Choice>
        </mc:AlternateContent>
        <mc:AlternateContent xmlns:mc="http://schemas.openxmlformats.org/markup-compatibility/2006">
          <mc:Choice Requires="x14">
            <control shapeId="20493" r:id="rId16" name="Check Box 13">
              <controlPr locked="0" defaultSize="0" autoFill="0" autoLine="0" autoPict="0">
                <anchor moveWithCells="1">
                  <from>
                    <xdr:col>10</xdr:col>
                    <xdr:colOff>11430</xdr:colOff>
                    <xdr:row>10</xdr:row>
                    <xdr:rowOff>95250</xdr:rowOff>
                  </from>
                  <to>
                    <xdr:col>11</xdr:col>
                    <xdr:colOff>95250</xdr:colOff>
                    <xdr:row>10</xdr:row>
                    <xdr:rowOff>323850</xdr:rowOff>
                  </to>
                </anchor>
              </controlPr>
            </control>
          </mc:Choice>
        </mc:AlternateContent>
        <mc:AlternateContent xmlns:mc="http://schemas.openxmlformats.org/markup-compatibility/2006">
          <mc:Choice Requires="x14">
            <control shapeId="20494" r:id="rId17" name="Check Box 14">
              <controlPr locked="0" defaultSize="0" autoFill="0" autoLine="0" autoPict="0">
                <anchor moveWithCells="1">
                  <from>
                    <xdr:col>12</xdr:col>
                    <xdr:colOff>19050</xdr:colOff>
                    <xdr:row>10</xdr:row>
                    <xdr:rowOff>95250</xdr:rowOff>
                  </from>
                  <to>
                    <xdr:col>13</xdr:col>
                    <xdr:colOff>106680</xdr:colOff>
                    <xdr:row>10</xdr:row>
                    <xdr:rowOff>323850</xdr:rowOff>
                  </to>
                </anchor>
              </controlPr>
            </control>
          </mc:Choice>
        </mc:AlternateContent>
        <mc:AlternateContent xmlns:mc="http://schemas.openxmlformats.org/markup-compatibility/2006">
          <mc:Choice Requires="x14">
            <control shapeId="20495" r:id="rId18" name="Check Box 15">
              <controlPr locked="0" defaultSize="0" autoFill="0" autoLine="0" autoPict="0">
                <anchor moveWithCells="1">
                  <from>
                    <xdr:col>2</xdr:col>
                    <xdr:colOff>11430</xdr:colOff>
                    <xdr:row>14</xdr:row>
                    <xdr:rowOff>38100</xdr:rowOff>
                  </from>
                  <to>
                    <xdr:col>3</xdr:col>
                    <xdr:colOff>95250</xdr:colOff>
                    <xdr:row>14</xdr:row>
                    <xdr:rowOff>285750</xdr:rowOff>
                  </to>
                </anchor>
              </controlPr>
            </control>
          </mc:Choice>
        </mc:AlternateContent>
        <mc:AlternateContent xmlns:mc="http://schemas.openxmlformats.org/markup-compatibility/2006">
          <mc:Choice Requires="x14">
            <control shapeId="20496" r:id="rId19" name="Check Box 16">
              <controlPr locked="0" defaultSize="0" autoFill="0" autoLine="0" autoPict="0">
                <anchor moveWithCells="1">
                  <from>
                    <xdr:col>6</xdr:col>
                    <xdr:colOff>11430</xdr:colOff>
                    <xdr:row>14</xdr:row>
                    <xdr:rowOff>49530</xdr:rowOff>
                  </from>
                  <to>
                    <xdr:col>7</xdr:col>
                    <xdr:colOff>95250</xdr:colOff>
                    <xdr:row>14</xdr:row>
                    <xdr:rowOff>323850</xdr:rowOff>
                  </to>
                </anchor>
              </controlPr>
            </control>
          </mc:Choice>
        </mc:AlternateContent>
        <mc:AlternateContent xmlns:mc="http://schemas.openxmlformats.org/markup-compatibility/2006">
          <mc:Choice Requires="x14">
            <control shapeId="20497" r:id="rId20" name="Check Box 17">
              <controlPr locked="0" defaultSize="0" autoFill="0" autoLine="0" autoPict="0">
                <anchor moveWithCells="1">
                  <from>
                    <xdr:col>8</xdr:col>
                    <xdr:colOff>11430</xdr:colOff>
                    <xdr:row>14</xdr:row>
                    <xdr:rowOff>30480</xdr:rowOff>
                  </from>
                  <to>
                    <xdr:col>9</xdr:col>
                    <xdr:colOff>95250</xdr:colOff>
                    <xdr:row>14</xdr:row>
                    <xdr:rowOff>323850</xdr:rowOff>
                  </to>
                </anchor>
              </controlPr>
            </control>
          </mc:Choice>
        </mc:AlternateContent>
        <mc:AlternateContent xmlns:mc="http://schemas.openxmlformats.org/markup-compatibility/2006">
          <mc:Choice Requires="x14">
            <control shapeId="20498" r:id="rId21" name="Check Box 18">
              <controlPr locked="0" defaultSize="0" autoFill="0" autoLine="0" autoPict="0">
                <anchor moveWithCells="1">
                  <from>
                    <xdr:col>10</xdr:col>
                    <xdr:colOff>11430</xdr:colOff>
                    <xdr:row>14</xdr:row>
                    <xdr:rowOff>38100</xdr:rowOff>
                  </from>
                  <to>
                    <xdr:col>11</xdr:col>
                    <xdr:colOff>95250</xdr:colOff>
                    <xdr:row>14</xdr:row>
                    <xdr:rowOff>323850</xdr:rowOff>
                  </to>
                </anchor>
              </controlPr>
            </control>
          </mc:Choice>
        </mc:AlternateContent>
        <mc:AlternateContent xmlns:mc="http://schemas.openxmlformats.org/markup-compatibility/2006">
          <mc:Choice Requires="x14">
            <control shapeId="20499" r:id="rId22" name="Check Box 19">
              <controlPr locked="0" defaultSize="0" autoFill="0" autoLine="0" autoPict="0">
                <anchor moveWithCells="1">
                  <from>
                    <xdr:col>10</xdr:col>
                    <xdr:colOff>11430</xdr:colOff>
                    <xdr:row>15</xdr:row>
                    <xdr:rowOff>76200</xdr:rowOff>
                  </from>
                  <to>
                    <xdr:col>11</xdr:col>
                    <xdr:colOff>95250</xdr:colOff>
                    <xdr:row>15</xdr:row>
                    <xdr:rowOff>304800</xdr:rowOff>
                  </to>
                </anchor>
              </controlPr>
            </control>
          </mc:Choice>
        </mc:AlternateContent>
        <mc:AlternateContent xmlns:mc="http://schemas.openxmlformats.org/markup-compatibility/2006">
          <mc:Choice Requires="x14">
            <control shapeId="20500" r:id="rId23" name="Check Box 20">
              <controlPr locked="0" defaultSize="0" autoFill="0" autoLine="0" autoPict="0">
                <anchor moveWithCells="1">
                  <from>
                    <xdr:col>8</xdr:col>
                    <xdr:colOff>11430</xdr:colOff>
                    <xdr:row>15</xdr:row>
                    <xdr:rowOff>76200</xdr:rowOff>
                  </from>
                  <to>
                    <xdr:col>9</xdr:col>
                    <xdr:colOff>95250</xdr:colOff>
                    <xdr:row>15</xdr:row>
                    <xdr:rowOff>304800</xdr:rowOff>
                  </to>
                </anchor>
              </controlPr>
            </control>
          </mc:Choice>
        </mc:AlternateContent>
        <mc:AlternateContent xmlns:mc="http://schemas.openxmlformats.org/markup-compatibility/2006">
          <mc:Choice Requires="x14">
            <control shapeId="20501" r:id="rId24" name="Check Box 21">
              <controlPr locked="0" defaultSize="0" autoFill="0" autoLine="0" autoPict="0">
                <anchor moveWithCells="1">
                  <from>
                    <xdr:col>6</xdr:col>
                    <xdr:colOff>11430</xdr:colOff>
                    <xdr:row>15</xdr:row>
                    <xdr:rowOff>76200</xdr:rowOff>
                  </from>
                  <to>
                    <xdr:col>7</xdr:col>
                    <xdr:colOff>95250</xdr:colOff>
                    <xdr:row>15</xdr:row>
                    <xdr:rowOff>304800</xdr:rowOff>
                  </to>
                </anchor>
              </controlPr>
            </control>
          </mc:Choice>
        </mc:AlternateContent>
        <mc:AlternateContent xmlns:mc="http://schemas.openxmlformats.org/markup-compatibility/2006">
          <mc:Choice Requires="x14">
            <control shapeId="20502" r:id="rId25" name="Check Box 22">
              <controlPr locked="0" defaultSize="0" autoFill="0" autoLine="0" autoPict="0">
                <anchor moveWithCells="1">
                  <from>
                    <xdr:col>8</xdr:col>
                    <xdr:colOff>0</xdr:colOff>
                    <xdr:row>16</xdr:row>
                    <xdr:rowOff>106680</xdr:rowOff>
                  </from>
                  <to>
                    <xdr:col>9</xdr:col>
                    <xdr:colOff>87630</xdr:colOff>
                    <xdr:row>16</xdr:row>
                    <xdr:rowOff>335280</xdr:rowOff>
                  </to>
                </anchor>
              </controlPr>
            </control>
          </mc:Choice>
        </mc:AlternateContent>
        <mc:AlternateContent xmlns:mc="http://schemas.openxmlformats.org/markup-compatibility/2006">
          <mc:Choice Requires="x14">
            <control shapeId="20503" r:id="rId26" name="Check Box 23">
              <controlPr locked="0" defaultSize="0" autoFill="0" autoLine="0" autoPict="0">
                <anchor moveWithCells="1">
                  <from>
                    <xdr:col>10</xdr:col>
                    <xdr:colOff>11430</xdr:colOff>
                    <xdr:row>16</xdr:row>
                    <xdr:rowOff>114300</xdr:rowOff>
                  </from>
                  <to>
                    <xdr:col>11</xdr:col>
                    <xdr:colOff>95250</xdr:colOff>
                    <xdr:row>16</xdr:row>
                    <xdr:rowOff>342900</xdr:rowOff>
                  </to>
                </anchor>
              </controlPr>
            </control>
          </mc:Choice>
        </mc:AlternateContent>
        <mc:AlternateContent xmlns:mc="http://schemas.openxmlformats.org/markup-compatibility/2006">
          <mc:Choice Requires="x14">
            <control shapeId="20504" r:id="rId27" name="Check Box 24">
              <controlPr locked="0" defaultSize="0" autoFill="0" autoLine="0" autoPict="0">
                <anchor moveWithCells="1">
                  <from>
                    <xdr:col>2</xdr:col>
                    <xdr:colOff>11430</xdr:colOff>
                    <xdr:row>15</xdr:row>
                    <xdr:rowOff>152400</xdr:rowOff>
                  </from>
                  <to>
                    <xdr:col>3</xdr:col>
                    <xdr:colOff>95250</xdr:colOff>
                    <xdr:row>15</xdr:row>
                    <xdr:rowOff>381000</xdr:rowOff>
                  </to>
                </anchor>
              </controlPr>
            </control>
          </mc:Choice>
        </mc:AlternateContent>
        <mc:AlternateContent xmlns:mc="http://schemas.openxmlformats.org/markup-compatibility/2006">
          <mc:Choice Requires="x14">
            <control shapeId="20505" r:id="rId28" name="Check Box 25">
              <controlPr locked="0" defaultSize="0" autoFill="0" autoLine="0" autoPict="0">
                <anchor moveWithCells="1">
                  <from>
                    <xdr:col>4</xdr:col>
                    <xdr:colOff>11430</xdr:colOff>
                    <xdr:row>17</xdr:row>
                    <xdr:rowOff>106680</xdr:rowOff>
                  </from>
                  <to>
                    <xdr:col>5</xdr:col>
                    <xdr:colOff>95250</xdr:colOff>
                    <xdr:row>17</xdr:row>
                    <xdr:rowOff>335280</xdr:rowOff>
                  </to>
                </anchor>
              </controlPr>
            </control>
          </mc:Choice>
        </mc:AlternateContent>
        <mc:AlternateContent xmlns:mc="http://schemas.openxmlformats.org/markup-compatibility/2006">
          <mc:Choice Requires="x14">
            <control shapeId="20506" r:id="rId29" name="Check Box 26">
              <controlPr locked="0" defaultSize="0" autoFill="0" autoLine="0" autoPict="0">
                <anchor moveWithCells="1">
                  <from>
                    <xdr:col>4</xdr:col>
                    <xdr:colOff>11430</xdr:colOff>
                    <xdr:row>18</xdr:row>
                    <xdr:rowOff>76200</xdr:rowOff>
                  </from>
                  <to>
                    <xdr:col>5</xdr:col>
                    <xdr:colOff>95250</xdr:colOff>
                    <xdr:row>18</xdr:row>
                    <xdr:rowOff>304800</xdr:rowOff>
                  </to>
                </anchor>
              </controlPr>
            </control>
          </mc:Choice>
        </mc:AlternateContent>
        <mc:AlternateContent xmlns:mc="http://schemas.openxmlformats.org/markup-compatibility/2006">
          <mc:Choice Requires="x14">
            <control shapeId="20507" r:id="rId30" name="Check Box 27">
              <controlPr locked="0" defaultSize="0" autoFill="0" autoLine="0" autoPict="0">
                <anchor moveWithCells="1">
                  <from>
                    <xdr:col>4</xdr:col>
                    <xdr:colOff>11430</xdr:colOff>
                    <xdr:row>19</xdr:row>
                    <xdr:rowOff>68580</xdr:rowOff>
                  </from>
                  <to>
                    <xdr:col>5</xdr:col>
                    <xdr:colOff>95250</xdr:colOff>
                    <xdr:row>19</xdr:row>
                    <xdr:rowOff>297180</xdr:rowOff>
                  </to>
                </anchor>
              </controlPr>
            </control>
          </mc:Choice>
        </mc:AlternateContent>
        <mc:AlternateContent xmlns:mc="http://schemas.openxmlformats.org/markup-compatibility/2006">
          <mc:Choice Requires="x14">
            <control shapeId="20508" r:id="rId31" name="Check Box 28">
              <controlPr locked="0" defaultSize="0" autoFill="0" autoLine="0" autoPict="0">
                <anchor moveWithCells="1">
                  <from>
                    <xdr:col>6</xdr:col>
                    <xdr:colOff>11430</xdr:colOff>
                    <xdr:row>19</xdr:row>
                    <xdr:rowOff>38100</xdr:rowOff>
                  </from>
                  <to>
                    <xdr:col>7</xdr:col>
                    <xdr:colOff>95250</xdr:colOff>
                    <xdr:row>19</xdr:row>
                    <xdr:rowOff>266700</xdr:rowOff>
                  </to>
                </anchor>
              </controlPr>
            </control>
          </mc:Choice>
        </mc:AlternateContent>
        <mc:AlternateContent xmlns:mc="http://schemas.openxmlformats.org/markup-compatibility/2006">
          <mc:Choice Requires="x14">
            <control shapeId="20509" r:id="rId32" name="Check Box 29">
              <controlPr locked="0" defaultSize="0" autoFill="0" autoLine="0" autoPict="0">
                <anchor moveWithCells="1">
                  <from>
                    <xdr:col>6</xdr:col>
                    <xdr:colOff>11430</xdr:colOff>
                    <xdr:row>20</xdr:row>
                    <xdr:rowOff>57150</xdr:rowOff>
                  </from>
                  <to>
                    <xdr:col>7</xdr:col>
                    <xdr:colOff>95250</xdr:colOff>
                    <xdr:row>20</xdr:row>
                    <xdr:rowOff>285750</xdr:rowOff>
                  </to>
                </anchor>
              </controlPr>
            </control>
          </mc:Choice>
        </mc:AlternateContent>
        <mc:AlternateContent xmlns:mc="http://schemas.openxmlformats.org/markup-compatibility/2006">
          <mc:Choice Requires="x14">
            <control shapeId="20510" r:id="rId33" name="Check Box 30">
              <controlPr locked="0" defaultSize="0" autoFill="0" autoLine="0" autoPict="0">
                <anchor moveWithCells="1">
                  <from>
                    <xdr:col>4</xdr:col>
                    <xdr:colOff>11430</xdr:colOff>
                    <xdr:row>20</xdr:row>
                    <xdr:rowOff>57150</xdr:rowOff>
                  </from>
                  <to>
                    <xdr:col>5</xdr:col>
                    <xdr:colOff>95250</xdr:colOff>
                    <xdr:row>20</xdr:row>
                    <xdr:rowOff>285750</xdr:rowOff>
                  </to>
                </anchor>
              </controlPr>
            </control>
          </mc:Choice>
        </mc:AlternateContent>
        <mc:AlternateContent xmlns:mc="http://schemas.openxmlformats.org/markup-compatibility/2006">
          <mc:Choice Requires="x14">
            <control shapeId="20511" r:id="rId34" name="Check Box 31">
              <controlPr locked="0" defaultSize="0" autoFill="0" autoLine="0" autoPict="0">
                <anchor moveWithCells="1">
                  <from>
                    <xdr:col>8</xdr:col>
                    <xdr:colOff>0</xdr:colOff>
                    <xdr:row>17</xdr:row>
                    <xdr:rowOff>87630</xdr:rowOff>
                  </from>
                  <to>
                    <xdr:col>9</xdr:col>
                    <xdr:colOff>87630</xdr:colOff>
                    <xdr:row>17</xdr:row>
                    <xdr:rowOff>316230</xdr:rowOff>
                  </to>
                </anchor>
              </controlPr>
            </control>
          </mc:Choice>
        </mc:AlternateContent>
        <mc:AlternateContent xmlns:mc="http://schemas.openxmlformats.org/markup-compatibility/2006">
          <mc:Choice Requires="x14">
            <control shapeId="20512" r:id="rId35" name="Check Box 32">
              <controlPr locked="0" defaultSize="0" autoFill="0" autoLine="0" autoPict="0">
                <anchor moveWithCells="1">
                  <from>
                    <xdr:col>6</xdr:col>
                    <xdr:colOff>11430</xdr:colOff>
                    <xdr:row>7</xdr:row>
                    <xdr:rowOff>68580</xdr:rowOff>
                  </from>
                  <to>
                    <xdr:col>7</xdr:col>
                    <xdr:colOff>95250</xdr:colOff>
                    <xdr:row>7</xdr:row>
                    <xdr:rowOff>297180</xdr:rowOff>
                  </to>
                </anchor>
              </controlPr>
            </control>
          </mc:Choice>
        </mc:AlternateContent>
        <mc:AlternateContent xmlns:mc="http://schemas.openxmlformats.org/markup-compatibility/2006">
          <mc:Choice Requires="x14">
            <control shapeId="20513" r:id="rId36" name="Button 33">
              <controlPr defaultSize="0" print="0" autoFill="0" autoPict="0" macro="[0]!UncheckAll_Click" altText="Uncheck All">
                <anchor moveWithCells="1" sizeWithCells="1">
                  <from>
                    <xdr:col>11</xdr:col>
                    <xdr:colOff>552450</xdr:colOff>
                    <xdr:row>3</xdr:row>
                    <xdr:rowOff>0</xdr:rowOff>
                  </from>
                  <to>
                    <xdr:col>12</xdr:col>
                    <xdr:colOff>0</xdr:colOff>
                    <xdr:row>3</xdr:row>
                    <xdr:rowOff>278130</xdr:rowOff>
                  </to>
                </anchor>
              </controlPr>
            </control>
          </mc:Choice>
        </mc:AlternateContent>
        <mc:AlternateContent xmlns:mc="http://schemas.openxmlformats.org/markup-compatibility/2006">
          <mc:Choice Requires="x14">
            <control shapeId="20514" r:id="rId37" name="Check Box 34">
              <controlPr locked="0" defaultSize="0" autoFill="0" autoLine="0" autoPict="0">
                <anchor moveWithCells="1">
                  <from>
                    <xdr:col>6</xdr:col>
                    <xdr:colOff>11430</xdr:colOff>
                    <xdr:row>17</xdr:row>
                    <xdr:rowOff>68580</xdr:rowOff>
                  </from>
                  <to>
                    <xdr:col>7</xdr:col>
                    <xdr:colOff>95250</xdr:colOff>
                    <xdr:row>17</xdr:row>
                    <xdr:rowOff>297180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956E3-203F-458C-8BFB-DA547D7C1036}">
  <dimension ref="A1:B37"/>
  <sheetViews>
    <sheetView showGridLines="0" showRowColHeaders="0" zoomScaleNormal="100" workbookViewId="0">
      <pane ySplit="8" topLeftCell="A9" activePane="bottomLeft" state="frozen"/>
      <selection pane="bottomLeft" activeCell="A25" sqref="A25"/>
    </sheetView>
  </sheetViews>
  <sheetFormatPr defaultRowHeight="14.4" x14ac:dyDescent="0.55000000000000004"/>
  <cols>
    <col min="1" max="1" width="26.68359375" style="165" customWidth="1"/>
    <col min="2" max="2" width="81.578125" style="165" customWidth="1"/>
  </cols>
  <sheetData>
    <row r="1" spans="1:2" ht="20.100000000000001" customHeight="1" x14ac:dyDescent="0.55000000000000004">
      <c r="A1" s="185" t="s">
        <v>217</v>
      </c>
      <c r="B1" s="220" t="s">
        <v>300</v>
      </c>
    </row>
    <row r="2" spans="1:2" ht="18" customHeight="1" x14ac:dyDescent="0.55000000000000004">
      <c r="A2" s="183" t="s">
        <v>216</v>
      </c>
      <c r="B2" s="166"/>
    </row>
    <row r="3" spans="1:2" ht="18" customHeight="1" x14ac:dyDescent="0.55000000000000004">
      <c r="A3" s="183" t="s">
        <v>215</v>
      </c>
      <c r="B3" s="166"/>
    </row>
    <row r="4" spans="1:2" ht="18" customHeight="1" x14ac:dyDescent="0.55000000000000004">
      <c r="A4" s="183" t="s">
        <v>214</v>
      </c>
      <c r="B4" s="166"/>
    </row>
    <row r="5" spans="1:2" ht="18" customHeight="1" x14ac:dyDescent="0.55000000000000004">
      <c r="A5" s="221" t="s">
        <v>241</v>
      </c>
      <c r="B5" s="166"/>
    </row>
    <row r="6" spans="1:2" s="222" customFormat="1" ht="18" customHeight="1" x14ac:dyDescent="0.55000000000000004">
      <c r="A6" s="183" t="s">
        <v>212</v>
      </c>
      <c r="B6" s="166"/>
    </row>
    <row r="7" spans="1:2" s="222" customFormat="1" ht="18" customHeight="1" x14ac:dyDescent="0.55000000000000004">
      <c r="A7" s="183" t="s">
        <v>211</v>
      </c>
      <c r="B7" s="166"/>
    </row>
    <row r="8" spans="1:2" ht="18" customHeight="1" x14ac:dyDescent="0.55000000000000004">
      <c r="A8" s="183" t="s">
        <v>210</v>
      </c>
      <c r="B8" s="223"/>
    </row>
    <row r="9" spans="1:2" ht="18" customHeight="1" x14ac:dyDescent="0.55000000000000004">
      <c r="A9" s="169" t="s">
        <v>208</v>
      </c>
      <c r="B9" s="168"/>
    </row>
    <row r="10" spans="1:2" ht="18" customHeight="1" x14ac:dyDescent="0.55000000000000004">
      <c r="A10" s="205" t="s">
        <v>207</v>
      </c>
      <c r="B10" s="166"/>
    </row>
    <row r="11" spans="1:2" ht="18" customHeight="1" x14ac:dyDescent="0.55000000000000004">
      <c r="A11" s="205" t="s">
        <v>206</v>
      </c>
      <c r="B11" s="166"/>
    </row>
    <row r="12" spans="1:2" ht="18" customHeight="1" x14ac:dyDescent="0.55000000000000004">
      <c r="A12" s="205" t="s">
        <v>205</v>
      </c>
      <c r="B12" s="166"/>
    </row>
    <row r="13" spans="1:2" ht="18" customHeight="1" x14ac:dyDescent="0.55000000000000004">
      <c r="A13" s="169" t="s">
        <v>204</v>
      </c>
      <c r="B13" s="168"/>
    </row>
    <row r="14" spans="1:2" ht="18" customHeight="1" x14ac:dyDescent="0.55000000000000004">
      <c r="A14" s="205" t="s">
        <v>203</v>
      </c>
      <c r="B14" s="166"/>
    </row>
    <row r="15" spans="1:2" ht="18" customHeight="1" x14ac:dyDescent="0.55000000000000004">
      <c r="A15" s="205" t="s">
        <v>202</v>
      </c>
      <c r="B15" s="166"/>
    </row>
    <row r="16" spans="1:2" ht="18" customHeight="1" x14ac:dyDescent="0.55000000000000004">
      <c r="A16" s="205" t="s">
        <v>201</v>
      </c>
      <c r="B16" s="166"/>
    </row>
    <row r="17" spans="1:2" ht="18" customHeight="1" x14ac:dyDescent="0.55000000000000004">
      <c r="A17" s="205" t="s">
        <v>199</v>
      </c>
      <c r="B17" s="166"/>
    </row>
    <row r="18" spans="1:2" s="181" customFormat="1" ht="18" customHeight="1" x14ac:dyDescent="0.55000000000000004">
      <c r="A18" s="224" t="s">
        <v>198</v>
      </c>
      <c r="B18" s="225"/>
    </row>
    <row r="19" spans="1:2" ht="18" customHeight="1" x14ac:dyDescent="0.55000000000000004">
      <c r="A19" s="224" t="s">
        <v>197</v>
      </c>
      <c r="B19" s="179"/>
    </row>
    <row r="20" spans="1:2" ht="18" customHeight="1" x14ac:dyDescent="0.55000000000000004">
      <c r="A20" s="171" t="s">
        <v>196</v>
      </c>
      <c r="B20" s="168"/>
    </row>
    <row r="21" spans="1:2" ht="59.25" customHeight="1" x14ac:dyDescent="0.55000000000000004">
      <c r="A21" s="178" t="s">
        <v>195</v>
      </c>
      <c r="B21" s="177" t="s">
        <v>194</v>
      </c>
    </row>
    <row r="22" spans="1:2" ht="32.1" customHeight="1" x14ac:dyDescent="0.55000000000000004">
      <c r="A22" s="205" t="s">
        <v>193</v>
      </c>
      <c r="B22" s="166"/>
    </row>
    <row r="23" spans="1:2" ht="43.2" x14ac:dyDescent="0.55000000000000004">
      <c r="A23" s="205" t="s">
        <v>192</v>
      </c>
      <c r="B23" s="166"/>
    </row>
    <row r="24" spans="1:2" ht="18" customHeight="1" x14ac:dyDescent="0.55000000000000004">
      <c r="A24" s="169" t="s">
        <v>190</v>
      </c>
      <c r="B24" s="168"/>
    </row>
    <row r="25" spans="1:2" s="175" customFormat="1" ht="28.8" x14ac:dyDescent="0.55000000000000004">
      <c r="A25" s="176" t="s">
        <v>189</v>
      </c>
      <c r="B25" s="166"/>
    </row>
    <row r="26" spans="1:2" ht="18" customHeight="1" x14ac:dyDescent="0.55000000000000004">
      <c r="A26" s="169" t="s">
        <v>188</v>
      </c>
      <c r="B26" s="168"/>
    </row>
    <row r="27" spans="1:2" ht="20.100000000000001" customHeight="1" x14ac:dyDescent="0.55000000000000004">
      <c r="A27" s="205" t="s">
        <v>187</v>
      </c>
      <c r="B27" s="166"/>
    </row>
    <row r="28" spans="1:2" s="222" customFormat="1" ht="28.8" x14ac:dyDescent="0.55000000000000004">
      <c r="A28" s="205" t="s">
        <v>186</v>
      </c>
      <c r="B28" s="166"/>
    </row>
    <row r="29" spans="1:2" ht="18" customHeight="1" x14ac:dyDescent="0.55000000000000004">
      <c r="A29" s="169" t="s">
        <v>185</v>
      </c>
      <c r="B29" s="168"/>
    </row>
    <row r="30" spans="1:2" ht="32.1" customHeight="1" x14ac:dyDescent="0.55000000000000004">
      <c r="A30" s="205" t="s">
        <v>184</v>
      </c>
      <c r="B30" s="166"/>
    </row>
    <row r="31" spans="1:2" ht="18" customHeight="1" x14ac:dyDescent="0.55000000000000004">
      <c r="A31" s="171" t="s">
        <v>183</v>
      </c>
      <c r="B31" s="170"/>
    </row>
    <row r="32" spans="1:2" ht="32.1" customHeight="1" x14ac:dyDescent="0.55000000000000004">
      <c r="A32" s="205" t="s">
        <v>182</v>
      </c>
      <c r="B32" s="166"/>
    </row>
    <row r="33" spans="1:2" ht="18" customHeight="1" x14ac:dyDescent="0.55000000000000004">
      <c r="A33" s="171" t="s">
        <v>218</v>
      </c>
      <c r="B33" s="168"/>
    </row>
    <row r="34" spans="1:2" ht="32.1" customHeight="1" x14ac:dyDescent="0.55000000000000004">
      <c r="A34" s="205" t="s">
        <v>181</v>
      </c>
      <c r="B34" s="176"/>
    </row>
    <row r="35" spans="1:2" ht="18" customHeight="1" x14ac:dyDescent="0.55000000000000004">
      <c r="A35" s="169" t="s">
        <v>219</v>
      </c>
      <c r="B35" s="168"/>
    </row>
    <row r="36" spans="1:2" ht="32.1" customHeight="1" x14ac:dyDescent="0.55000000000000004">
      <c r="A36" s="205" t="s">
        <v>180</v>
      </c>
      <c r="B36" s="186"/>
    </row>
    <row r="37" spans="1:2" ht="43.2" x14ac:dyDescent="0.55000000000000004">
      <c r="A37" s="205" t="s">
        <v>242</v>
      </c>
      <c r="B37" s="186"/>
    </row>
  </sheetData>
  <conditionalFormatting sqref="B8">
    <cfRule type="containsText" dxfId="22" priority="1" operator="containsText" text="Pathogenic">
      <formula>NOT(ISERROR(SEARCH("Pathogenic",B8)))</formula>
    </cfRule>
    <cfRule type="containsText" dxfId="21" priority="2" operator="containsText" text="Insufficient">
      <formula>NOT(ISERROR(SEARCH("Insufficient",B8)))</formula>
    </cfRule>
    <cfRule type="containsText" dxfId="20" priority="3" operator="containsText" text="Conflicting">
      <formula>NOT(ISERROR(SEARCH("Conflicting",B8)))</formula>
    </cfRule>
    <cfRule type="containsText" dxfId="19" priority="4" operator="containsText" text="Likely benign">
      <formula>NOT(ISERROR(SEARCH("Likely benign",B8)))</formula>
    </cfRule>
    <cfRule type="containsText" dxfId="18" priority="5" operator="containsText" text="Benign">
      <formula>NOT(ISERROR(SEARCH("Benign",B8)))</formula>
    </cfRule>
  </conditionalFormatting>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2F7F1-1883-4949-A6FB-45B6370495D5}">
  <sheetPr codeName="Sheet4"/>
  <dimension ref="A1:M62"/>
  <sheetViews>
    <sheetView showGridLines="0" showRowColHeaders="0" zoomScaleNormal="100" zoomScaleSheetLayoutView="100" workbookViewId="0">
      <pane xSplit="1" ySplit="7" topLeftCell="B8" activePane="bottomRight" state="frozen"/>
      <selection pane="topRight" activeCell="B1" sqref="B1"/>
      <selection pane="bottomLeft" activeCell="A6" sqref="A6"/>
      <selection pane="bottomRight" activeCell="D2" sqref="D2:F2"/>
    </sheetView>
  </sheetViews>
  <sheetFormatPr defaultColWidth="9.15625" defaultRowHeight="12.3" x14ac:dyDescent="0.2"/>
  <cols>
    <col min="1" max="1" width="8.26171875" style="5" customWidth="1"/>
    <col min="2" max="2" width="25.578125" style="27" customWidth="1"/>
    <col min="3" max="3" width="3.68359375" style="18" customWidth="1"/>
    <col min="4" max="4" width="27.26171875" style="27" customWidth="1"/>
    <col min="5" max="5" width="3.68359375" style="18" customWidth="1"/>
    <col min="6" max="6" width="26.26171875" style="27" customWidth="1"/>
    <col min="7" max="7" width="3.68359375" style="18" customWidth="1"/>
    <col min="8" max="8" width="28.15625" style="27" customWidth="1"/>
    <col min="9" max="9" width="3.68359375" style="18" customWidth="1"/>
    <col min="10" max="10" width="26.578125" style="27" customWidth="1"/>
    <col min="11" max="11" width="3.68359375" style="18" customWidth="1"/>
    <col min="12" max="12" width="22.578125" style="27" customWidth="1"/>
    <col min="13" max="13" width="3.68359375" style="18" customWidth="1"/>
    <col min="14" max="16" width="10.68359375" style="2" customWidth="1"/>
    <col min="17" max="16384" width="9.15625" style="2"/>
  </cols>
  <sheetData>
    <row r="1" spans="1:13" ht="10" customHeight="1" thickBot="1" x14ac:dyDescent="0.25">
      <c r="A1" s="55"/>
      <c r="B1" s="56"/>
      <c r="C1" s="57"/>
      <c r="D1" s="56"/>
      <c r="E1" s="57"/>
      <c r="F1" s="56"/>
      <c r="G1" s="57"/>
      <c r="H1" s="56"/>
      <c r="I1" s="57"/>
      <c r="J1" s="56"/>
      <c r="K1" s="57"/>
      <c r="L1" s="56"/>
      <c r="M1" s="57"/>
    </row>
    <row r="2" spans="1:13" ht="25" customHeight="1" thickBot="1" x14ac:dyDescent="0.25">
      <c r="A2" s="55"/>
      <c r="B2" s="58" t="s">
        <v>143</v>
      </c>
      <c r="C2" s="59"/>
      <c r="D2" s="300" t="s">
        <v>144</v>
      </c>
      <c r="E2" s="300"/>
      <c r="F2" s="300"/>
      <c r="G2" s="57"/>
      <c r="H2" s="60" t="s">
        <v>92</v>
      </c>
      <c r="I2" s="57"/>
      <c r="J2" s="306" t="str">
        <f>IF(A25="Pathogenic (Ia)","Pathogenic (Ia)",IF(A26="Pathogenic (Ib)","Pathogenic (Ib)",IF(A27="Pathogenic (Ic)","Pathogenic (Ic)",IF(A28="Pathogenic (Id)","Pathogenic (Id)",IF(A29="Pathogenic (II)","Pathogenic (II)",IF(A30="Pathogenic (IIIa)","Pathogenic (IIIa)",IF(A31="Pathogenic (IIIb)","Pathogenic (IIIb)",IF(A32="Pathogenic (IIIc)","Pathogenic (IIIc)",IF(A33="Likely Pathogenic (I)","Likely Pathogenic (I)",IF(A34="Likely Pathogenic (II)","Likely Pathogenic (II)",IF(A35="Likely Pathogenic (III)","Likely Pathogenic (III)",IF(A36="Likely Pathogenic (IV)","Likely Pathogenic (IV)",IF(A37="Likely Pathogenic (V)","Likely Pathogenic (V)",IF(A38="Likely Pathogenic (VI)","Likely Pathogenic (VI)",IF(A39="VUS - Insufficient evidence","VUS - Insufficient evidence",IF(A40="VUS - Conflicting evidence","VUS - Conflicting evidence",IF(A41="Likely Benign (I)","Likely Benign (I)",IF(A42="Likely Benign (II)","Likely Benign (II)",IF(A43="Benign (I)","Benign (I)",IF(A44="Benign (II)","Benign (II)"))))))))))))))))))))</f>
        <v>VUS - Insufficient evidence</v>
      </c>
      <c r="K2" s="307"/>
      <c r="L2" s="308"/>
      <c r="M2" s="57"/>
    </row>
    <row r="3" spans="1:13" ht="10" customHeight="1" x14ac:dyDescent="0.2">
      <c r="A3" s="61"/>
      <c r="B3" s="62"/>
      <c r="C3" s="63"/>
      <c r="D3" s="62"/>
      <c r="E3" s="63"/>
      <c r="F3" s="62"/>
      <c r="G3" s="63"/>
      <c r="H3" s="62"/>
      <c r="I3" s="63"/>
      <c r="J3" s="62"/>
      <c r="K3" s="63"/>
      <c r="L3" s="62"/>
      <c r="M3" s="63"/>
    </row>
    <row r="4" spans="1:13" s="32" customFormat="1" ht="23.1" customHeight="1" thickBot="1" x14ac:dyDescent="0.25">
      <c r="A4" s="64"/>
      <c r="B4" s="65" t="s">
        <v>117</v>
      </c>
      <c r="C4" s="59"/>
      <c r="D4" s="301" t="str">
        <f>IF(J2="Pathogenic (Ia)","PVS + PS (+ PS)",IF(J2="Pathogenic (Ib)","PVS + PM + PM (+ PM)",IF(J2="Pathogenic (Ic)","PVS + PM + PP",IF(J2="Pathogenic (Id)","PVS + PP + PP (+ PP)",IF(J2="Pathogenic (II)","PS + PS (+ PS)",IF(J2="Pathogenic (IIIa)","PS + PM + PM + PM (+ PM)",IF(J2="Pathogenic (IIIb)","PS + PM + PM + PP + PP (+ PP)",IF(J2="Pathogenic (IIIc)","PS + PM + PP + PP + PP + PP (+ PP)",IF(J2="Likely Pathogenic (I)","PVS + PM",IF(J2="Likely Pathogenic (II)","PS + PM (+ PM)",IF(J2="Likely Pathogenic (III)","PS + PP + PP (+ PP)",IF(J2="Likely Pathogenic (IV)","PM + PM + PM (+ PM)",IF(J2="Likely Pathogenic (V)","PM + PM + PP + PP (+ PP)",IF(J2="Likely Pathogenic (VI)","PM + PP + PP + PP + PP (+ PP)",IF(J2="VUS - Insufficient evidence","Insufficient evidence",IF(J2="VUS - Conflicting evidence","Conflicting evidence",IF(J2="Likely Benign (I)","BS + BP",IF(J2="Likely Benign (II)","BP + BP (+ BP)",IF(J2="Benign (I)","BA1",IF(J2="Benign (II)","BS + BS (+ BS)"))))))))))))))))))))</f>
        <v>Insufficient evidence</v>
      </c>
      <c r="E4" s="301"/>
      <c r="F4" s="301"/>
      <c r="G4" s="66"/>
      <c r="H4" s="156" t="s">
        <v>178</v>
      </c>
      <c r="I4" s="66"/>
      <c r="J4" s="162" t="s">
        <v>176</v>
      </c>
      <c r="K4" s="67"/>
      <c r="L4" s="164"/>
      <c r="M4" s="68"/>
    </row>
    <row r="5" spans="1:13" ht="10" customHeight="1" thickBot="1" x14ac:dyDescent="0.25">
      <c r="A5" s="60"/>
      <c r="B5" s="60"/>
      <c r="C5" s="60"/>
      <c r="D5" s="69"/>
      <c r="E5" s="69"/>
      <c r="F5" s="69"/>
      <c r="G5" s="63"/>
      <c r="H5" s="62"/>
      <c r="I5" s="63"/>
      <c r="J5" s="62"/>
      <c r="K5" s="63"/>
      <c r="L5" s="62"/>
      <c r="M5" s="63"/>
    </row>
    <row r="6" spans="1:13" s="17" customFormat="1" ht="18.75" customHeight="1" x14ac:dyDescent="0.55000000000000004">
      <c r="A6" s="289"/>
      <c r="B6" s="285" t="s">
        <v>5</v>
      </c>
      <c r="C6" s="286"/>
      <c r="D6" s="286"/>
      <c r="E6" s="287"/>
      <c r="F6" s="285" t="s">
        <v>0</v>
      </c>
      <c r="G6" s="286"/>
      <c r="H6" s="286"/>
      <c r="I6" s="286"/>
      <c r="J6" s="286"/>
      <c r="K6" s="286"/>
      <c r="L6" s="286"/>
      <c r="M6" s="287"/>
    </row>
    <row r="7" spans="1:13" ht="18" customHeight="1" thickBot="1" x14ac:dyDescent="0.6">
      <c r="A7" s="290"/>
      <c r="B7" s="296" t="s">
        <v>1</v>
      </c>
      <c r="C7" s="297"/>
      <c r="D7" s="294" t="s">
        <v>4</v>
      </c>
      <c r="E7" s="295"/>
      <c r="F7" s="292" t="s">
        <v>4</v>
      </c>
      <c r="G7" s="293"/>
      <c r="H7" s="291" t="s">
        <v>3</v>
      </c>
      <c r="I7" s="291"/>
      <c r="J7" s="303" t="s">
        <v>1</v>
      </c>
      <c r="K7" s="303"/>
      <c r="L7" s="304" t="s">
        <v>95</v>
      </c>
      <c r="M7" s="305"/>
    </row>
    <row r="8" spans="1:13" ht="43.5" customHeight="1" x14ac:dyDescent="0.2">
      <c r="A8" s="288" t="s">
        <v>104</v>
      </c>
      <c r="B8" s="88" t="s">
        <v>148</v>
      </c>
      <c r="C8" s="130" t="b">
        <v>0</v>
      </c>
      <c r="D8" s="89"/>
      <c r="E8" s="139"/>
      <c r="F8" s="208" t="s">
        <v>147</v>
      </c>
      <c r="G8" s="147" t="b">
        <v>0</v>
      </c>
      <c r="H8" s="213" t="s">
        <v>163</v>
      </c>
      <c r="I8" s="152" t="b">
        <v>0</v>
      </c>
      <c r="J8" s="313" t="s">
        <v>171</v>
      </c>
      <c r="K8" s="152" t="b">
        <v>0</v>
      </c>
      <c r="L8" s="92"/>
      <c r="M8" s="139"/>
    </row>
    <row r="9" spans="1:13" ht="32.1" customHeight="1" x14ac:dyDescent="0.2">
      <c r="A9" s="288"/>
      <c r="B9" s="93" t="s">
        <v>149</v>
      </c>
      <c r="C9" s="131" t="b">
        <v>0</v>
      </c>
      <c r="D9" s="89"/>
      <c r="E9" s="139"/>
      <c r="F9" s="94"/>
      <c r="G9" s="134"/>
      <c r="H9" s="213"/>
      <c r="I9" s="148"/>
      <c r="J9" s="314"/>
      <c r="K9" s="148"/>
      <c r="L9" s="92"/>
      <c r="M9" s="139"/>
    </row>
    <row r="10" spans="1:13" ht="45" customHeight="1" thickBot="1" x14ac:dyDescent="0.25">
      <c r="A10" s="284"/>
      <c r="B10" s="95" t="s">
        <v>150</v>
      </c>
      <c r="C10" s="132" t="b">
        <v>0</v>
      </c>
      <c r="D10" s="96"/>
      <c r="E10" s="140"/>
      <c r="F10" s="97"/>
      <c r="G10" s="135"/>
      <c r="H10" s="98"/>
      <c r="I10" s="149"/>
      <c r="J10" s="99"/>
      <c r="K10" s="149"/>
      <c r="L10" s="100"/>
      <c r="M10" s="140"/>
    </row>
    <row r="11" spans="1:13" ht="55" customHeight="1" x14ac:dyDescent="0.2">
      <c r="A11" s="283" t="s">
        <v>101</v>
      </c>
      <c r="B11" s="101"/>
      <c r="C11" s="133"/>
      <c r="D11" s="102" t="s">
        <v>152</v>
      </c>
      <c r="E11" s="141" t="b">
        <v>0</v>
      </c>
      <c r="F11" s="309" t="s">
        <v>170</v>
      </c>
      <c r="G11" s="136" t="b">
        <v>0</v>
      </c>
      <c r="H11" s="315" t="s">
        <v>173</v>
      </c>
      <c r="I11" s="318" t="b">
        <v>0</v>
      </c>
      <c r="J11" s="313" t="s">
        <v>172</v>
      </c>
      <c r="K11" s="136" t="b">
        <v>0</v>
      </c>
      <c r="L11" s="321" t="s">
        <v>174</v>
      </c>
      <c r="M11" s="145" t="b">
        <v>0</v>
      </c>
    </row>
    <row r="12" spans="1:13" ht="42" customHeight="1" x14ac:dyDescent="0.2">
      <c r="A12" s="288"/>
      <c r="B12" s="103"/>
      <c r="C12" s="134"/>
      <c r="D12" s="104" t="s">
        <v>153</v>
      </c>
      <c r="E12" s="142" t="b">
        <v>0</v>
      </c>
      <c r="F12" s="310"/>
      <c r="G12" s="148"/>
      <c r="H12" s="316"/>
      <c r="I12" s="319"/>
      <c r="J12" s="314"/>
      <c r="K12" s="148"/>
      <c r="L12" s="322"/>
      <c r="M12" s="153"/>
    </row>
    <row r="13" spans="1:13" ht="36" customHeight="1" x14ac:dyDescent="0.2">
      <c r="A13" s="288"/>
      <c r="B13" s="103"/>
      <c r="C13" s="134"/>
      <c r="D13" s="104" t="s">
        <v>154</v>
      </c>
      <c r="E13" s="142" t="b">
        <v>0</v>
      </c>
      <c r="F13" s="210"/>
      <c r="G13" s="148"/>
      <c r="H13" s="317"/>
      <c r="I13" s="320"/>
      <c r="J13" s="314"/>
      <c r="K13" s="148"/>
      <c r="L13" s="105"/>
      <c r="M13" s="153"/>
    </row>
    <row r="14" spans="1:13" ht="36" customHeight="1" thickBot="1" x14ac:dyDescent="0.25">
      <c r="A14" s="284"/>
      <c r="B14" s="107"/>
      <c r="C14" s="135"/>
      <c r="D14" s="108" t="s">
        <v>155</v>
      </c>
      <c r="E14" s="143" t="b">
        <v>0</v>
      </c>
      <c r="F14" s="109"/>
      <c r="G14" s="149"/>
      <c r="H14" s="110" t="s">
        <v>164</v>
      </c>
      <c r="I14" s="131" t="b">
        <v>0</v>
      </c>
      <c r="J14" s="99"/>
      <c r="K14" s="149"/>
      <c r="L14" s="111"/>
      <c r="M14" s="154"/>
    </row>
    <row r="15" spans="1:13" ht="58" customHeight="1" thickBot="1" x14ac:dyDescent="0.25">
      <c r="A15" s="31" t="s">
        <v>103</v>
      </c>
      <c r="B15" s="112" t="s">
        <v>177</v>
      </c>
      <c r="C15" s="136" t="b">
        <v>0</v>
      </c>
      <c r="D15" s="113"/>
      <c r="E15" s="144"/>
      <c r="F15" s="209" t="s">
        <v>160</v>
      </c>
      <c r="G15" s="136" t="b">
        <v>0</v>
      </c>
      <c r="H15" s="212" t="s">
        <v>165</v>
      </c>
      <c r="I15" s="136" t="b">
        <v>0</v>
      </c>
      <c r="J15" s="211" t="s">
        <v>168</v>
      </c>
      <c r="K15" s="136" t="b">
        <v>0</v>
      </c>
      <c r="L15" s="117"/>
      <c r="M15" s="155"/>
    </row>
    <row r="16" spans="1:13" ht="56.1" customHeight="1" thickBot="1" x14ac:dyDescent="0.25">
      <c r="A16" s="31" t="s">
        <v>102</v>
      </c>
      <c r="B16" s="112" t="s">
        <v>151</v>
      </c>
      <c r="C16" s="136" t="b">
        <v>0</v>
      </c>
      <c r="D16" s="113"/>
      <c r="E16" s="144"/>
      <c r="F16" s="209" t="s">
        <v>161</v>
      </c>
      <c r="G16" s="136" t="b">
        <v>0</v>
      </c>
      <c r="H16" s="212" t="s">
        <v>96</v>
      </c>
      <c r="I16" s="136" t="b">
        <v>0</v>
      </c>
      <c r="J16" s="211" t="s">
        <v>96</v>
      </c>
      <c r="K16" s="136" t="b">
        <v>0</v>
      </c>
      <c r="L16" s="117"/>
      <c r="M16" s="155"/>
    </row>
    <row r="17" spans="1:13" ht="36" customHeight="1" thickBot="1" x14ac:dyDescent="0.25">
      <c r="A17" s="31" t="s">
        <v>97</v>
      </c>
      <c r="B17" s="118"/>
      <c r="C17" s="133"/>
      <c r="D17" s="119"/>
      <c r="E17" s="144"/>
      <c r="F17" s="118"/>
      <c r="G17" s="133"/>
      <c r="H17" s="212" t="s">
        <v>166</v>
      </c>
      <c r="I17" s="136" t="b">
        <v>0</v>
      </c>
      <c r="J17" s="211" t="s">
        <v>169</v>
      </c>
      <c r="K17" s="136" t="b">
        <v>0</v>
      </c>
      <c r="L17" s="117"/>
      <c r="M17" s="155"/>
    </row>
    <row r="18" spans="1:13" ht="35.1" customHeight="1" x14ac:dyDescent="0.2">
      <c r="A18" s="283" t="s">
        <v>98</v>
      </c>
      <c r="B18" s="101"/>
      <c r="C18" s="133"/>
      <c r="D18" s="102" t="s">
        <v>156</v>
      </c>
      <c r="E18" s="141" t="b">
        <v>0</v>
      </c>
      <c r="F18" s="298" t="s">
        <v>146</v>
      </c>
      <c r="G18" s="150" t="b">
        <v>0</v>
      </c>
      <c r="H18" s="311" t="s">
        <v>167</v>
      </c>
      <c r="I18" s="136" t="b">
        <v>0</v>
      </c>
      <c r="J18" s="120"/>
      <c r="K18" s="133"/>
      <c r="L18" s="117"/>
      <c r="M18" s="144"/>
    </row>
    <row r="19" spans="1:13" ht="35.1" customHeight="1" thickBot="1" x14ac:dyDescent="0.25">
      <c r="A19" s="284"/>
      <c r="B19" s="107"/>
      <c r="C19" s="135"/>
      <c r="D19" s="108" t="s">
        <v>157</v>
      </c>
      <c r="E19" s="143" t="b">
        <v>0</v>
      </c>
      <c r="F19" s="299"/>
      <c r="G19" s="135"/>
      <c r="H19" s="312"/>
      <c r="I19" s="149"/>
      <c r="J19" s="121"/>
      <c r="K19" s="135"/>
      <c r="L19" s="100"/>
      <c r="M19" s="140"/>
    </row>
    <row r="20" spans="1:13" ht="55" customHeight="1" thickBot="1" x14ac:dyDescent="0.25">
      <c r="A20" s="31" t="s">
        <v>99</v>
      </c>
      <c r="B20" s="112"/>
      <c r="C20" s="137"/>
      <c r="D20" s="122" t="s">
        <v>158</v>
      </c>
      <c r="E20" s="145" t="b">
        <v>0</v>
      </c>
      <c r="F20" s="209" t="s">
        <v>175</v>
      </c>
      <c r="G20" s="136" t="b">
        <v>0</v>
      </c>
      <c r="H20" s="123"/>
      <c r="I20" s="133"/>
      <c r="J20" s="120"/>
      <c r="K20" s="133"/>
      <c r="L20" s="117"/>
      <c r="M20" s="155"/>
    </row>
    <row r="21" spans="1:13" ht="42" customHeight="1" thickBot="1" x14ac:dyDescent="0.25">
      <c r="A21" s="31" t="s">
        <v>100</v>
      </c>
      <c r="B21" s="124"/>
      <c r="C21" s="138"/>
      <c r="D21" s="125" t="s">
        <v>159</v>
      </c>
      <c r="E21" s="146" t="b">
        <v>0</v>
      </c>
      <c r="F21" s="126" t="s">
        <v>162</v>
      </c>
      <c r="G21" s="151" t="b">
        <v>0</v>
      </c>
      <c r="H21" s="127"/>
      <c r="I21" s="138"/>
      <c r="J21" s="128"/>
      <c r="K21" s="138"/>
      <c r="L21" s="129"/>
      <c r="M21" s="155"/>
    </row>
    <row r="22" spans="1:13" s="1" customFormat="1" ht="12.75" customHeight="1" x14ac:dyDescent="0.3">
      <c r="B22" s="302"/>
      <c r="C22" s="302"/>
      <c r="D22" s="302"/>
      <c r="E22" s="302"/>
      <c r="F22" s="302"/>
      <c r="G22" s="302"/>
      <c r="H22" s="302"/>
      <c r="I22" s="302"/>
      <c r="J22" s="302"/>
      <c r="K22" s="302"/>
      <c r="L22" s="302"/>
      <c r="M22" s="302"/>
    </row>
    <row r="23" spans="1:13" s="22" customFormat="1" hidden="1" x14ac:dyDescent="0.55000000000000004">
      <c r="A23" s="21"/>
      <c r="B23" s="26"/>
      <c r="C23" s="20">
        <f>COUNTIF(C8:C21,TRUE)</f>
        <v>0</v>
      </c>
      <c r="D23" s="26"/>
      <c r="E23" s="20">
        <f>COUNTIF(E8:E21,TRUE)</f>
        <v>0</v>
      </c>
      <c r="F23" s="26"/>
      <c r="G23" s="20">
        <f>COUNTIF(G8:G21,TRUE)</f>
        <v>0</v>
      </c>
      <c r="H23" s="26"/>
      <c r="I23" s="20">
        <f>COUNTIF(I8:I21,TRUE)</f>
        <v>0</v>
      </c>
      <c r="J23" s="26"/>
      <c r="K23" s="20">
        <f>COUNTIF(K8:K21,TRUE)</f>
        <v>0</v>
      </c>
      <c r="L23" s="26"/>
      <c r="M23" s="20">
        <f>COUNTIF(M8:M21,TRUE)</f>
        <v>0</v>
      </c>
    </row>
    <row r="24" spans="1:13" s="22" customFormat="1" hidden="1" x14ac:dyDescent="0.2">
      <c r="A24" s="21"/>
      <c r="B24" s="26"/>
      <c r="C24" s="19"/>
      <c r="D24" s="26"/>
      <c r="E24" s="19"/>
      <c r="F24" s="26"/>
      <c r="G24" s="19"/>
      <c r="H24" s="26"/>
      <c r="I24" s="19"/>
      <c r="J24" s="26"/>
      <c r="K24" s="19"/>
      <c r="L24" s="26"/>
      <c r="M24" s="19"/>
    </row>
    <row r="25" spans="1:13" s="22" customFormat="1" hidden="1" x14ac:dyDescent="0.2">
      <c r="A25" s="29" t="str">
        <f>IF(AND(A40=" ",M23=1,K23&gt;=1),"Pathogenic (Ia)"," ")</f>
        <v xml:space="preserve"> </v>
      </c>
      <c r="B25" s="26"/>
      <c r="C25" s="23" t="s">
        <v>8</v>
      </c>
      <c r="D25" s="26"/>
      <c r="E25" s="24" t="s">
        <v>85</v>
      </c>
      <c r="F25" s="26"/>
      <c r="G25" s="19"/>
      <c r="H25" s="26"/>
      <c r="I25" s="19"/>
      <c r="J25" s="26"/>
      <c r="K25" s="19"/>
      <c r="L25" s="26"/>
      <c r="M25" s="19"/>
    </row>
    <row r="26" spans="1:13" s="22" customFormat="1" hidden="1" x14ac:dyDescent="0.2">
      <c r="A26" s="29" t="str">
        <f>IF((AND(A40=" ",A25=" ",M23=1,I23&gt;=2)),"Pathogenic (Ib)"," ")</f>
        <v xml:space="preserve"> </v>
      </c>
      <c r="B26" s="26"/>
      <c r="C26" s="23" t="s">
        <v>13</v>
      </c>
      <c r="D26" s="26"/>
      <c r="E26" s="24" t="s">
        <v>86</v>
      </c>
      <c r="F26" s="26"/>
      <c r="G26" s="19"/>
      <c r="H26" s="26"/>
      <c r="I26" s="19"/>
      <c r="J26" s="26"/>
      <c r="K26" s="19"/>
      <c r="L26" s="26"/>
      <c r="M26" s="19"/>
    </row>
    <row r="27" spans="1:13" s="22" customFormat="1" hidden="1" x14ac:dyDescent="0.2">
      <c r="A27" s="29" t="str">
        <f>IF((AND(A40=" ",A25=" ",M23=1,I23=1,G23=1)),"Pathogenic (Ic)"," ")</f>
        <v xml:space="preserve"> </v>
      </c>
      <c r="B27" s="26"/>
      <c r="C27" s="23" t="s">
        <v>14</v>
      </c>
      <c r="D27" s="26"/>
      <c r="E27" s="24" t="s">
        <v>87</v>
      </c>
      <c r="F27" s="26"/>
      <c r="G27" s="19"/>
      <c r="H27" s="26"/>
      <c r="I27" s="19"/>
      <c r="J27" s="26"/>
      <c r="K27" s="19"/>
      <c r="L27" s="26"/>
      <c r="M27" s="19"/>
    </row>
    <row r="28" spans="1:13" s="22" customFormat="1" hidden="1" x14ac:dyDescent="0.2">
      <c r="A28" s="29" t="str">
        <f>IF((AND(A40=" ",A25=" ",A26=" ",M23=1,G23&gt;=2)),"Pathogenic (Id)"," ")</f>
        <v xml:space="preserve"> </v>
      </c>
      <c r="B28" s="26"/>
      <c r="C28" s="23" t="s">
        <v>15</v>
      </c>
      <c r="D28" s="26"/>
      <c r="E28" s="24" t="s">
        <v>88</v>
      </c>
      <c r="F28" s="26"/>
      <c r="G28" s="19"/>
      <c r="H28" s="26"/>
      <c r="I28" s="19"/>
      <c r="J28" s="26"/>
      <c r="K28" s="19"/>
      <c r="L28" s="26"/>
      <c r="M28" s="19"/>
    </row>
    <row r="29" spans="1:13" s="22" customFormat="1" hidden="1" x14ac:dyDescent="0.2">
      <c r="A29" s="29" t="str">
        <f>IF(AND(A40=" ",A25=" ",K23&gt;=2),"Pathogenic (II)"," ")</f>
        <v xml:space="preserve"> </v>
      </c>
      <c r="B29" s="26"/>
      <c r="C29" s="23" t="s">
        <v>16</v>
      </c>
      <c r="D29" s="26"/>
      <c r="E29" s="24" t="s">
        <v>7</v>
      </c>
      <c r="F29" s="26"/>
      <c r="G29" s="19"/>
      <c r="H29" s="26"/>
      <c r="I29" s="19"/>
      <c r="J29" s="26"/>
      <c r="K29" s="19"/>
      <c r="L29" s="26"/>
      <c r="M29" s="19"/>
    </row>
    <row r="30" spans="1:13" s="22" customFormat="1" hidden="1" x14ac:dyDescent="0.2">
      <c r="A30" s="29" t="str">
        <f>IF((AND(A40=" ",A25=" ",K23=1,I23&gt;=3)),"Pathogenic (IIIa)"," ")</f>
        <v xml:space="preserve"> </v>
      </c>
      <c r="B30" s="26"/>
      <c r="C30" s="23" t="s">
        <v>17</v>
      </c>
      <c r="D30" s="26"/>
      <c r="E30" s="24" t="s">
        <v>89</v>
      </c>
      <c r="F30" s="26"/>
      <c r="G30" s="19"/>
      <c r="H30" s="26"/>
      <c r="I30" s="19"/>
      <c r="J30" s="26"/>
      <c r="K30" s="19"/>
      <c r="L30" s="26"/>
      <c r="M30" s="19"/>
    </row>
    <row r="31" spans="1:13" s="22" customFormat="1" hidden="1" x14ac:dyDescent="0.2">
      <c r="A31" s="29" t="str">
        <f>IF((AND(A40=" ",A25=" ",A30=" ",K23=1,I23=2,G23&gt;=2)),"Pathogenic (IIIb)"," ")</f>
        <v xml:space="preserve"> </v>
      </c>
      <c r="B31" s="26"/>
      <c r="C31" s="23" t="s">
        <v>18</v>
      </c>
      <c r="D31" s="26"/>
      <c r="E31" s="24" t="s">
        <v>90</v>
      </c>
      <c r="F31" s="26"/>
      <c r="G31" s="19"/>
      <c r="H31" s="26"/>
      <c r="I31" s="19"/>
      <c r="J31" s="26"/>
      <c r="K31" s="19"/>
      <c r="L31" s="26"/>
      <c r="M31" s="19"/>
    </row>
    <row r="32" spans="1:13" s="22" customFormat="1" hidden="1" x14ac:dyDescent="0.2">
      <c r="A32" s="29" t="str">
        <f>IF((AND(A40=" ",A25=" ",K23=1,I23=1,G23&gt;=4)),"Pathogenic (IIIc)"," ")</f>
        <v xml:space="preserve"> </v>
      </c>
      <c r="B32" s="26"/>
      <c r="C32" s="23" t="s">
        <v>19</v>
      </c>
      <c r="D32" s="26"/>
      <c r="E32" s="24" t="s">
        <v>91</v>
      </c>
      <c r="F32" s="26"/>
      <c r="G32" s="19"/>
      <c r="H32" s="26"/>
      <c r="I32" s="19"/>
      <c r="J32" s="26"/>
      <c r="K32" s="19"/>
      <c r="L32" s="26"/>
      <c r="M32" s="19"/>
    </row>
    <row r="33" spans="1:13" s="22" customFormat="1" hidden="1" x14ac:dyDescent="0.2">
      <c r="A33" s="29" t="str">
        <f>IF((AND(A40=" ",A25=" ",A26=" ",A28=" ",M23=1,I23=1)),"Likely Pathogenic (I)"," ")</f>
        <v xml:space="preserve"> </v>
      </c>
      <c r="B33" s="26"/>
      <c r="C33" s="23" t="s">
        <v>9</v>
      </c>
      <c r="D33" s="26"/>
      <c r="E33" s="24" t="s">
        <v>23</v>
      </c>
      <c r="F33" s="26"/>
      <c r="G33" s="19"/>
      <c r="H33" s="26"/>
      <c r="I33" s="19"/>
      <c r="J33" s="26"/>
      <c r="K33" s="19"/>
      <c r="L33" s="26"/>
      <c r="M33" s="19"/>
    </row>
    <row r="34" spans="1:13" s="22" customFormat="1" hidden="1" x14ac:dyDescent="0.2">
      <c r="A34" s="29" t="str">
        <f>IF((AND(A40=" ",A25=" ",K23=1,I23&gt;0,I23&lt;=2)),"Likely Pathogenic (II)"," ")</f>
        <v xml:space="preserve"> </v>
      </c>
      <c r="B34" s="26"/>
      <c r="C34" s="23" t="s">
        <v>20</v>
      </c>
      <c r="D34" s="26"/>
      <c r="E34" s="24" t="s">
        <v>24</v>
      </c>
      <c r="F34" s="26"/>
      <c r="G34" s="19"/>
      <c r="H34" s="26"/>
      <c r="I34" s="19"/>
      <c r="J34" s="26"/>
      <c r="K34" s="19"/>
      <c r="L34" s="26"/>
      <c r="M34" s="19"/>
    </row>
    <row r="35" spans="1:13" s="22" customFormat="1" hidden="1" x14ac:dyDescent="0.2">
      <c r="A35" s="29" t="str">
        <f>IF((AND(A40=" ",A25=" ",A27=" ",A28=" ",A31=" ",A34=" ",K23=1,G23&gt;=2)),"Likely Pathogenic (III)"," ")</f>
        <v xml:space="preserve"> </v>
      </c>
      <c r="B35" s="26"/>
      <c r="C35" s="23" t="s">
        <v>11</v>
      </c>
      <c r="D35" s="26"/>
      <c r="E35" s="24" t="s">
        <v>25</v>
      </c>
      <c r="F35" s="26"/>
      <c r="G35" s="19"/>
      <c r="H35" s="26"/>
      <c r="I35" s="19"/>
      <c r="J35" s="26"/>
      <c r="K35" s="19"/>
      <c r="L35" s="26"/>
      <c r="M35" s="19"/>
    </row>
    <row r="36" spans="1:13" s="22" customFormat="1" hidden="1" x14ac:dyDescent="0.2">
      <c r="A36" s="29" t="str">
        <f>IF((AND(A40=" ",A25=" ",A26=" ",A27=" ",A28=" ",I23&gt;=3)),"Likely Pathogenic (IV)"," ")</f>
        <v xml:space="preserve"> </v>
      </c>
      <c r="B36" s="26"/>
      <c r="C36" s="23" t="s">
        <v>21</v>
      </c>
      <c r="D36" s="26"/>
      <c r="E36" s="24" t="s">
        <v>26</v>
      </c>
      <c r="F36" s="26"/>
      <c r="G36" s="19"/>
      <c r="H36" s="26"/>
      <c r="I36" s="19"/>
      <c r="J36" s="26"/>
      <c r="K36" s="19"/>
      <c r="L36" s="26"/>
      <c r="M36" s="19"/>
    </row>
    <row r="37" spans="1:13" s="22" customFormat="1" hidden="1" x14ac:dyDescent="0.2">
      <c r="A37" s="29" t="str">
        <f>IF((AND(A40=" ",A25=" ",A26=" ",A27=" ",A28=" ",A29=" ",I23=2,G23&gt;=2)),"Likely Pathogenic (V)"," ")</f>
        <v xml:space="preserve"> </v>
      </c>
      <c r="B37" s="26"/>
      <c r="C37" s="23" t="s">
        <v>12</v>
      </c>
      <c r="D37" s="26"/>
      <c r="E37" s="24" t="s">
        <v>27</v>
      </c>
      <c r="F37" s="26"/>
      <c r="G37" s="19"/>
      <c r="H37" s="26"/>
      <c r="I37" s="19"/>
      <c r="J37" s="26"/>
      <c r="K37" s="19"/>
      <c r="L37" s="26"/>
      <c r="M37" s="19"/>
    </row>
    <row r="38" spans="1:13" s="22" customFormat="1" hidden="1" x14ac:dyDescent="0.2">
      <c r="A38" s="29" t="str">
        <f>IF((AND(A40=" ",A25=" ",A27=" ",A28=" ",A37=" ",I23=1,G23&gt;=4)),"Likely Pathogenic (VI)"," ")</f>
        <v xml:space="preserve"> </v>
      </c>
      <c r="B38" s="26"/>
      <c r="C38" s="23" t="s">
        <v>22</v>
      </c>
      <c r="D38" s="26"/>
      <c r="E38" s="24" t="s">
        <v>10</v>
      </c>
      <c r="F38" s="26"/>
      <c r="G38" s="19"/>
      <c r="H38" s="26"/>
      <c r="I38" s="19"/>
      <c r="J38" s="26"/>
      <c r="K38" s="19"/>
      <c r="L38" s="26"/>
      <c r="M38" s="19"/>
    </row>
    <row r="39" spans="1:13" s="22" customFormat="1" hidden="1" x14ac:dyDescent="0.2">
      <c r="A39" s="29" t="str">
        <f>IF((AND(A25=" ",A26=" ",A27=" ",A28=" ",A29=" ",A30=" ",A31=" ",A32=" ",A33=" ",A34=" ",A35=" ",A36=" ",A37=" ",A38=" ",A40=" ",A41= " ",A42=" ",A43=" ",A44=" ")),"VUS - Insufficient evidence"," ")</f>
        <v>VUS - Insufficient evidence</v>
      </c>
      <c r="B39" s="26"/>
      <c r="C39" s="23" t="s">
        <v>38</v>
      </c>
      <c r="D39" s="26"/>
      <c r="E39" s="24" t="s">
        <v>37</v>
      </c>
      <c r="F39" s="26"/>
      <c r="G39" s="19"/>
      <c r="H39" s="26"/>
      <c r="I39" s="19"/>
      <c r="J39" s="26"/>
      <c r="K39" s="19"/>
      <c r="L39" s="26"/>
      <c r="M39" s="19"/>
    </row>
    <row r="40" spans="1:13" s="22" customFormat="1" hidden="1" x14ac:dyDescent="0.2">
      <c r="A40" s="29" t="str">
        <f>IF(AND(OR(C23&gt;=1,E23&gt;=1,F13&gt;=1),OR(G23&gt;=1,I23&gt;=1,K23&gt;=1,M23&gt;=1)),"VUS - Conflicting evidence"," ")</f>
        <v xml:space="preserve"> </v>
      </c>
      <c r="B40" s="26"/>
      <c r="C40" s="23" t="s">
        <v>39</v>
      </c>
      <c r="D40" s="26"/>
      <c r="E40" s="24" t="s">
        <v>36</v>
      </c>
      <c r="F40" s="26"/>
      <c r="G40" s="19"/>
      <c r="H40" s="26"/>
      <c r="I40" s="19"/>
      <c r="J40" s="26"/>
      <c r="K40" s="19"/>
      <c r="L40" s="26"/>
      <c r="M40" s="19"/>
    </row>
    <row r="41" spans="1:13" s="22" customFormat="1" hidden="1" x14ac:dyDescent="0.2">
      <c r="A41" s="29" t="str">
        <f>IF(AND(A40=" ",A43=" ",C23=1,E23&gt;=1),"Likely benign (I)"," ")</f>
        <v xml:space="preserve"> </v>
      </c>
      <c r="B41" s="26"/>
      <c r="C41" s="23" t="s">
        <v>34</v>
      </c>
      <c r="D41" s="26"/>
      <c r="E41" s="24" t="s">
        <v>33</v>
      </c>
      <c r="F41" s="26"/>
      <c r="G41" s="19"/>
      <c r="H41" s="26"/>
      <c r="I41" s="19"/>
      <c r="J41" s="26"/>
      <c r="K41" s="19"/>
      <c r="L41" s="26"/>
      <c r="M41" s="19"/>
    </row>
    <row r="42" spans="1:13" s="22" customFormat="1" hidden="1" x14ac:dyDescent="0.2">
      <c r="A42" s="29" t="str">
        <f>IF(AND(A40=" ",A41=" ",A43=" ",A44=" ",E23&gt;=2),"Likely benign (II)"," ")</f>
        <v xml:space="preserve"> </v>
      </c>
      <c r="B42" s="26"/>
      <c r="C42" s="23" t="s">
        <v>35</v>
      </c>
      <c r="D42" s="26"/>
      <c r="E42" s="24" t="s">
        <v>32</v>
      </c>
      <c r="F42" s="26"/>
      <c r="G42" s="19"/>
      <c r="H42" s="26"/>
      <c r="I42" s="19"/>
      <c r="J42" s="26"/>
      <c r="K42" s="19"/>
      <c r="L42" s="26"/>
      <c r="M42" s="19"/>
    </row>
    <row r="43" spans="1:13" s="22" customFormat="1" hidden="1" x14ac:dyDescent="0.2">
      <c r="A43" s="29" t="str">
        <f>IF(AND(A40=" ",C8=TRUE),"Benign (I)"," ")</f>
        <v xml:space="preserve"> </v>
      </c>
      <c r="B43" s="26"/>
      <c r="C43" s="23" t="s">
        <v>30</v>
      </c>
      <c r="D43" s="26"/>
      <c r="E43" s="24" t="s">
        <v>29</v>
      </c>
      <c r="F43" s="26"/>
      <c r="G43" s="19"/>
      <c r="H43" s="26"/>
      <c r="I43" s="19"/>
      <c r="J43" s="26"/>
      <c r="K43" s="19"/>
      <c r="L43" s="26"/>
      <c r="M43" s="19"/>
    </row>
    <row r="44" spans="1:13" s="22" customFormat="1" hidden="1" x14ac:dyDescent="0.2">
      <c r="A44" s="29" t="str">
        <f>IF(AND(A40=" ",A41=" ",A43=" ",C23&gt;=2),"Benign (II)"," ")</f>
        <v xml:space="preserve"> </v>
      </c>
      <c r="B44" s="26"/>
      <c r="C44" s="23" t="s">
        <v>31</v>
      </c>
      <c r="D44" s="26"/>
      <c r="E44" s="24" t="s">
        <v>28</v>
      </c>
      <c r="F44" s="26"/>
      <c r="G44" s="19"/>
      <c r="H44" s="26"/>
      <c r="I44" s="19"/>
      <c r="J44" s="26"/>
      <c r="K44" s="19"/>
      <c r="L44" s="26"/>
      <c r="M44" s="19"/>
    </row>
    <row r="45" spans="1:13" s="22" customFormat="1" x14ac:dyDescent="0.4">
      <c r="A45" s="21"/>
      <c r="B45" s="20"/>
      <c r="C45" s="30"/>
      <c r="D45" s="20"/>
      <c r="E45" s="30"/>
      <c r="F45" s="20"/>
      <c r="G45" s="30"/>
      <c r="H45" s="20"/>
      <c r="I45" s="30"/>
      <c r="J45" s="20"/>
      <c r="K45" s="30"/>
      <c r="L45" s="20"/>
      <c r="M45" s="30"/>
    </row>
    <row r="46" spans="1:13" x14ac:dyDescent="0.4">
      <c r="B46" s="3"/>
      <c r="C46" s="16"/>
      <c r="D46" s="3"/>
      <c r="E46" s="16"/>
      <c r="F46" s="3"/>
      <c r="G46" s="16"/>
      <c r="H46" s="3"/>
      <c r="I46" s="16"/>
      <c r="J46" s="3"/>
      <c r="K46" s="16"/>
      <c r="L46" s="3"/>
      <c r="M46" s="16"/>
    </row>
    <row r="47" spans="1:13" x14ac:dyDescent="0.4">
      <c r="B47" s="3"/>
      <c r="C47" s="16"/>
      <c r="D47" s="3"/>
      <c r="E47" s="16"/>
      <c r="F47" s="3"/>
      <c r="G47" s="16"/>
      <c r="H47" s="3"/>
      <c r="I47" s="16"/>
      <c r="J47" s="3"/>
      <c r="K47" s="16"/>
      <c r="L47" s="3"/>
      <c r="M47" s="16"/>
    </row>
    <row r="48" spans="1:13" x14ac:dyDescent="0.4">
      <c r="B48" s="3"/>
      <c r="C48" s="16"/>
      <c r="D48" s="3"/>
      <c r="E48" s="16"/>
      <c r="F48" s="3"/>
      <c r="G48" s="16"/>
      <c r="H48" s="3"/>
      <c r="I48" s="16"/>
      <c r="J48" s="3"/>
      <c r="K48" s="16"/>
      <c r="L48" s="3"/>
      <c r="M48" s="16"/>
    </row>
    <row r="49" spans="2:13" x14ac:dyDescent="0.4">
      <c r="B49" s="3"/>
      <c r="C49" s="16"/>
      <c r="D49" s="3"/>
      <c r="E49" s="16"/>
      <c r="F49" s="3"/>
      <c r="G49" s="16"/>
      <c r="H49" s="3"/>
      <c r="I49" s="16"/>
      <c r="J49" s="3"/>
      <c r="K49" s="16"/>
      <c r="L49" s="3"/>
      <c r="M49" s="16"/>
    </row>
    <row r="50" spans="2:13" x14ac:dyDescent="0.4">
      <c r="B50" s="3"/>
      <c r="C50" s="16"/>
      <c r="D50" s="3"/>
      <c r="E50" s="16"/>
      <c r="F50" s="3"/>
      <c r="G50" s="16"/>
      <c r="H50" s="3"/>
      <c r="I50" s="16"/>
      <c r="J50" s="3"/>
      <c r="K50" s="16"/>
      <c r="L50" s="3"/>
      <c r="M50" s="16"/>
    </row>
    <row r="51" spans="2:13" x14ac:dyDescent="0.4">
      <c r="B51" s="3"/>
      <c r="C51" s="16"/>
      <c r="D51" s="3"/>
      <c r="E51" s="16"/>
      <c r="F51" s="3"/>
      <c r="G51" s="16"/>
      <c r="H51" s="3"/>
      <c r="I51" s="16"/>
      <c r="J51" s="3"/>
      <c r="K51" s="16"/>
      <c r="L51" s="3"/>
      <c r="M51" s="16"/>
    </row>
    <row r="52" spans="2:13" x14ac:dyDescent="0.4">
      <c r="B52" s="3"/>
      <c r="C52" s="16"/>
      <c r="D52" s="3"/>
      <c r="E52" s="16"/>
      <c r="F52" s="3"/>
      <c r="G52" s="16"/>
      <c r="H52" s="3"/>
      <c r="I52" s="16"/>
      <c r="J52" s="3"/>
      <c r="K52" s="16"/>
      <c r="L52" s="3"/>
      <c r="M52" s="16"/>
    </row>
    <row r="53" spans="2:13" x14ac:dyDescent="0.4">
      <c r="B53" s="3"/>
      <c r="C53" s="16"/>
      <c r="D53" s="3"/>
      <c r="E53" s="16"/>
      <c r="F53" s="3"/>
      <c r="G53" s="16"/>
      <c r="H53" s="3"/>
      <c r="I53" s="16"/>
      <c r="J53" s="3"/>
      <c r="K53" s="16"/>
      <c r="L53" s="3"/>
      <c r="M53" s="16"/>
    </row>
    <row r="54" spans="2:13" x14ac:dyDescent="0.4">
      <c r="B54" s="3"/>
      <c r="C54" s="16"/>
      <c r="D54" s="3"/>
      <c r="E54" s="16"/>
      <c r="F54" s="3"/>
      <c r="G54" s="16"/>
      <c r="H54" s="3"/>
      <c r="I54" s="16"/>
      <c r="J54" s="3"/>
      <c r="K54" s="16"/>
      <c r="L54" s="3"/>
      <c r="M54" s="16"/>
    </row>
    <row r="55" spans="2:13" x14ac:dyDescent="0.4">
      <c r="B55" s="3"/>
      <c r="C55" s="16"/>
      <c r="D55" s="3"/>
      <c r="E55" s="16"/>
      <c r="F55" s="3"/>
      <c r="G55" s="16"/>
      <c r="H55" s="3"/>
      <c r="I55" s="16"/>
      <c r="J55" s="3"/>
      <c r="K55" s="16"/>
      <c r="L55" s="3"/>
      <c r="M55" s="16"/>
    </row>
    <row r="56" spans="2:13" x14ac:dyDescent="0.4">
      <c r="B56" s="3"/>
      <c r="C56" s="16"/>
      <c r="D56" s="3"/>
      <c r="E56" s="16"/>
      <c r="F56" s="3"/>
      <c r="G56" s="16"/>
      <c r="H56" s="3"/>
      <c r="I56" s="16"/>
      <c r="J56" s="3"/>
      <c r="K56" s="16"/>
      <c r="L56" s="3"/>
      <c r="M56" s="16"/>
    </row>
    <row r="57" spans="2:13" x14ac:dyDescent="0.4">
      <c r="B57" s="3"/>
      <c r="C57" s="16"/>
      <c r="D57" s="3"/>
      <c r="E57" s="16"/>
      <c r="F57" s="3"/>
      <c r="G57" s="16"/>
      <c r="H57" s="3"/>
      <c r="I57" s="16"/>
      <c r="J57" s="3"/>
      <c r="K57" s="16"/>
      <c r="L57" s="3"/>
      <c r="M57" s="16"/>
    </row>
    <row r="58" spans="2:13" x14ac:dyDescent="0.4">
      <c r="B58" s="3"/>
      <c r="C58" s="16"/>
      <c r="D58" s="3"/>
      <c r="E58" s="16"/>
      <c r="F58" s="3"/>
      <c r="G58" s="16"/>
      <c r="H58" s="3"/>
      <c r="I58" s="16"/>
      <c r="J58" s="3"/>
      <c r="K58" s="16"/>
      <c r="L58" s="3"/>
      <c r="M58" s="16"/>
    </row>
    <row r="59" spans="2:13" x14ac:dyDescent="0.4">
      <c r="B59" s="3"/>
      <c r="C59" s="16"/>
      <c r="D59" s="3"/>
      <c r="E59" s="16"/>
      <c r="F59" s="3"/>
      <c r="G59" s="16"/>
      <c r="H59" s="3"/>
      <c r="I59" s="16"/>
      <c r="J59" s="3"/>
      <c r="K59" s="16"/>
      <c r="L59" s="3"/>
      <c r="M59" s="16"/>
    </row>
    <row r="60" spans="2:13" x14ac:dyDescent="0.4">
      <c r="B60" s="3"/>
      <c r="C60" s="16"/>
      <c r="D60" s="3"/>
      <c r="E60" s="16"/>
      <c r="F60" s="3"/>
      <c r="G60" s="16"/>
      <c r="H60" s="3"/>
      <c r="I60" s="16"/>
      <c r="J60" s="3"/>
      <c r="K60" s="16"/>
      <c r="L60" s="3"/>
      <c r="M60" s="16"/>
    </row>
    <row r="61" spans="2:13" x14ac:dyDescent="0.4">
      <c r="B61" s="3"/>
      <c r="C61" s="16"/>
      <c r="D61" s="3"/>
      <c r="E61" s="16"/>
      <c r="F61" s="3"/>
      <c r="G61" s="16"/>
      <c r="H61" s="3"/>
      <c r="I61" s="16"/>
      <c r="J61" s="3"/>
      <c r="K61" s="16"/>
      <c r="L61" s="3"/>
      <c r="M61" s="16"/>
    </row>
    <row r="62" spans="2:13" x14ac:dyDescent="0.4">
      <c r="B62" s="3"/>
      <c r="C62" s="16"/>
      <c r="D62" s="3"/>
      <c r="E62" s="16"/>
      <c r="F62" s="3"/>
      <c r="G62" s="16"/>
      <c r="H62" s="3"/>
      <c r="I62" s="16"/>
      <c r="J62" s="3"/>
      <c r="K62" s="16"/>
      <c r="L62" s="3"/>
      <c r="M62" s="16"/>
    </row>
  </sheetData>
  <sheetProtection algorithmName="SHA-512" hashValue="MckLrYch7F2zMiuBlQeIY3mOZTi4CrcI3Xw4RZVDnhiNyYTIk9ED78UbPIQEbOIUmldKL52gHt84ttUSMSOlJw==" saltValue="OByc4Z4aNpFE9QR+BIHGiQ==" spinCount="100000" sheet="1" objects="1" scenarios="1" selectLockedCells="1"/>
  <mergeCells count="24">
    <mergeCell ref="D2:F2"/>
    <mergeCell ref="J2:L2"/>
    <mergeCell ref="D4:F4"/>
    <mergeCell ref="A6:A7"/>
    <mergeCell ref="B6:E6"/>
    <mergeCell ref="F6:M6"/>
    <mergeCell ref="B7:C7"/>
    <mergeCell ref="D7:E7"/>
    <mergeCell ref="F7:G7"/>
    <mergeCell ref="H7:I7"/>
    <mergeCell ref="A18:A19"/>
    <mergeCell ref="F18:F19"/>
    <mergeCell ref="H18:H19"/>
    <mergeCell ref="B22:M22"/>
    <mergeCell ref="J7:K7"/>
    <mergeCell ref="L7:M7"/>
    <mergeCell ref="A8:A10"/>
    <mergeCell ref="J8:J9"/>
    <mergeCell ref="A11:A14"/>
    <mergeCell ref="F11:F12"/>
    <mergeCell ref="H11:H13"/>
    <mergeCell ref="I11:I13"/>
    <mergeCell ref="J11:J13"/>
    <mergeCell ref="L11:L12"/>
  </mergeCells>
  <conditionalFormatting sqref="D5 J2">
    <cfRule type="containsText" dxfId="17" priority="5" operator="containsText" text="VUS">
      <formula>NOT(ISERROR(SEARCH("VUS",D2)))</formula>
    </cfRule>
    <cfRule type="containsText" dxfId="16" priority="6" operator="containsText" text="LIKELY PATHOGENIC">
      <formula>NOT(ISERROR(SEARCH("LIKELY PATHOGENIC",D2)))</formula>
    </cfRule>
    <cfRule type="containsText" dxfId="15" priority="7" operator="containsText" text="PATHOGENIC">
      <formula>NOT(ISERROR(SEARCH("PATHOGENIC",D2)))</formula>
    </cfRule>
    <cfRule type="containsText" dxfId="14" priority="8" operator="containsText" text="LIKELY BENIGN">
      <formula>NOT(ISERROR(SEARCH("LIKELY BENIGN",D2)))</formula>
    </cfRule>
    <cfRule type="containsText" dxfId="13" priority="9" operator="containsText" text="BENIGN">
      <formula>NOT(ISERROR(SEARCH("BENIGN",D2)))</formula>
    </cfRule>
  </conditionalFormatting>
  <conditionalFormatting sqref="D4:F4">
    <cfRule type="containsText" dxfId="12" priority="3" operator="containsText" text="Conflicting evidence">
      <formula>NOT(ISERROR(SEARCH("Conflicting evidence",D4)))</formula>
    </cfRule>
    <cfRule type="containsText" dxfId="11" priority="4" operator="containsText" text="Insufficient evidence">
      <formula>NOT(ISERROR(SEARCH("Insufficient evidence",D4)))</formula>
    </cfRule>
  </conditionalFormatting>
  <conditionalFormatting sqref="D2:F2">
    <cfRule type="containsText" dxfId="10" priority="1" operator="containsText" text="Conflicting evidence">
      <formula>NOT(ISERROR(SEARCH("Conflicting evidence",D2)))</formula>
    </cfRule>
    <cfRule type="containsText" dxfId="9" priority="2" operator="containsText" text="Insufficient evidence">
      <formula>NOT(ISERROR(SEARCH("Insufficient evidence",D2)))</formula>
    </cfRule>
  </conditionalFormatting>
  <printOptions horizontalCentered="1"/>
  <pageMargins left="0.23622047244094491" right="0.23622047244094491" top="0.35433070866141736" bottom="0.39370078740157483" header="0.31496062992125984" footer="0.31496062992125984"/>
  <pageSetup paperSize="9" scale="76" orientation="landscape" r:id="rId1"/>
  <headerFooter>
    <oddFooter>&amp;L&amp;"Verdana,Italic"&amp;8                 adapted from Richards, et al. 2015 Standards and guidelines for the interpretation of sequence variants.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locked="0" defaultSize="0" autoFill="0" autoLine="0" autoPict="0">
                <anchor moveWithCells="1">
                  <from>
                    <xdr:col>2</xdr:col>
                    <xdr:colOff>11430</xdr:colOff>
                    <xdr:row>7</xdr:row>
                    <xdr:rowOff>57150</xdr:rowOff>
                  </from>
                  <to>
                    <xdr:col>3</xdr:col>
                    <xdr:colOff>106680</xdr:colOff>
                    <xdr:row>7</xdr:row>
                    <xdr:rowOff>297180</xdr:rowOff>
                  </to>
                </anchor>
              </controlPr>
            </control>
          </mc:Choice>
        </mc:AlternateContent>
        <mc:AlternateContent xmlns:mc="http://schemas.openxmlformats.org/markup-compatibility/2006">
          <mc:Choice Requires="x14">
            <control shapeId="16386" r:id="rId5" name="Check Box 2">
              <controlPr locked="0" defaultSize="0" autoFill="0" autoLine="0" autoPict="0">
                <anchor moveWithCells="1">
                  <from>
                    <xdr:col>4</xdr:col>
                    <xdr:colOff>11430</xdr:colOff>
                    <xdr:row>10</xdr:row>
                    <xdr:rowOff>95250</xdr:rowOff>
                  </from>
                  <to>
                    <xdr:col>5</xdr:col>
                    <xdr:colOff>95250</xdr:colOff>
                    <xdr:row>10</xdr:row>
                    <xdr:rowOff>323850</xdr:rowOff>
                  </to>
                </anchor>
              </controlPr>
            </control>
          </mc:Choice>
        </mc:AlternateContent>
        <mc:AlternateContent xmlns:mc="http://schemas.openxmlformats.org/markup-compatibility/2006">
          <mc:Choice Requires="x14">
            <control shapeId="16387" r:id="rId6" name="Check Box 3">
              <controlPr locked="0" defaultSize="0" autoFill="0" autoLine="0" autoPict="0">
                <anchor moveWithCells="1">
                  <from>
                    <xdr:col>8</xdr:col>
                    <xdr:colOff>11430</xdr:colOff>
                    <xdr:row>7</xdr:row>
                    <xdr:rowOff>0</xdr:rowOff>
                  </from>
                  <to>
                    <xdr:col>9</xdr:col>
                    <xdr:colOff>95250</xdr:colOff>
                    <xdr:row>7</xdr:row>
                    <xdr:rowOff>297180</xdr:rowOff>
                  </to>
                </anchor>
              </controlPr>
            </control>
          </mc:Choice>
        </mc:AlternateContent>
        <mc:AlternateContent xmlns:mc="http://schemas.openxmlformats.org/markup-compatibility/2006">
          <mc:Choice Requires="x14">
            <control shapeId="16388" r:id="rId7" name="Check Box 4">
              <controlPr locked="0" defaultSize="0" autoFill="0" autoLine="0" autoPict="0">
                <anchor moveWithCells="1">
                  <from>
                    <xdr:col>10</xdr:col>
                    <xdr:colOff>19050</xdr:colOff>
                    <xdr:row>7</xdr:row>
                    <xdr:rowOff>19050</xdr:rowOff>
                  </from>
                  <to>
                    <xdr:col>11</xdr:col>
                    <xdr:colOff>106680</xdr:colOff>
                    <xdr:row>7</xdr:row>
                    <xdr:rowOff>285750</xdr:rowOff>
                  </to>
                </anchor>
              </controlPr>
            </control>
          </mc:Choice>
        </mc:AlternateContent>
        <mc:AlternateContent xmlns:mc="http://schemas.openxmlformats.org/markup-compatibility/2006">
          <mc:Choice Requires="x14">
            <control shapeId="16389" r:id="rId8" name="Check Box 5">
              <controlPr locked="0" defaultSize="0" autoFill="0" autoLine="0" autoPict="0">
                <anchor moveWithCells="1">
                  <from>
                    <xdr:col>2</xdr:col>
                    <xdr:colOff>19050</xdr:colOff>
                    <xdr:row>8</xdr:row>
                    <xdr:rowOff>76200</xdr:rowOff>
                  </from>
                  <to>
                    <xdr:col>3</xdr:col>
                    <xdr:colOff>125730</xdr:colOff>
                    <xdr:row>8</xdr:row>
                    <xdr:rowOff>316230</xdr:rowOff>
                  </to>
                </anchor>
              </controlPr>
            </control>
          </mc:Choice>
        </mc:AlternateContent>
        <mc:AlternateContent xmlns:mc="http://schemas.openxmlformats.org/markup-compatibility/2006">
          <mc:Choice Requires="x14">
            <control shapeId="16390" r:id="rId9" name="Check Box 6">
              <controlPr locked="0" defaultSize="0" autoFill="0" autoLine="0" autoPict="0">
                <anchor moveWithCells="1">
                  <from>
                    <xdr:col>2</xdr:col>
                    <xdr:colOff>11430</xdr:colOff>
                    <xdr:row>9</xdr:row>
                    <xdr:rowOff>163830</xdr:rowOff>
                  </from>
                  <to>
                    <xdr:col>3</xdr:col>
                    <xdr:colOff>106680</xdr:colOff>
                    <xdr:row>9</xdr:row>
                    <xdr:rowOff>392430</xdr:rowOff>
                  </to>
                </anchor>
              </controlPr>
            </control>
          </mc:Choice>
        </mc:AlternateContent>
        <mc:AlternateContent xmlns:mc="http://schemas.openxmlformats.org/markup-compatibility/2006">
          <mc:Choice Requires="x14">
            <control shapeId="16391" r:id="rId10" name="Check Box 7">
              <controlPr locked="0" defaultSize="0" autoFill="0" autoLine="0" autoPict="0">
                <anchor moveWithCells="1">
                  <from>
                    <xdr:col>4</xdr:col>
                    <xdr:colOff>11430</xdr:colOff>
                    <xdr:row>11</xdr:row>
                    <xdr:rowOff>76200</xdr:rowOff>
                  </from>
                  <to>
                    <xdr:col>5</xdr:col>
                    <xdr:colOff>95250</xdr:colOff>
                    <xdr:row>11</xdr:row>
                    <xdr:rowOff>316230</xdr:rowOff>
                  </to>
                </anchor>
              </controlPr>
            </control>
          </mc:Choice>
        </mc:AlternateContent>
        <mc:AlternateContent xmlns:mc="http://schemas.openxmlformats.org/markup-compatibility/2006">
          <mc:Choice Requires="x14">
            <control shapeId="16392" r:id="rId11" name="Check Box 8">
              <controlPr locked="0" defaultSize="0" autoFill="0" autoLine="0" autoPict="0">
                <anchor moveWithCells="1">
                  <from>
                    <xdr:col>4</xdr:col>
                    <xdr:colOff>11430</xdr:colOff>
                    <xdr:row>12</xdr:row>
                    <xdr:rowOff>68580</xdr:rowOff>
                  </from>
                  <to>
                    <xdr:col>5</xdr:col>
                    <xdr:colOff>95250</xdr:colOff>
                    <xdr:row>12</xdr:row>
                    <xdr:rowOff>297180</xdr:rowOff>
                  </to>
                </anchor>
              </controlPr>
            </control>
          </mc:Choice>
        </mc:AlternateContent>
        <mc:AlternateContent xmlns:mc="http://schemas.openxmlformats.org/markup-compatibility/2006">
          <mc:Choice Requires="x14">
            <control shapeId="16393" r:id="rId12" name="Check Box 9">
              <controlPr locked="0" defaultSize="0" autoFill="0" autoLine="0" autoPict="0">
                <anchor moveWithCells="1">
                  <from>
                    <xdr:col>4</xdr:col>
                    <xdr:colOff>11430</xdr:colOff>
                    <xdr:row>13</xdr:row>
                    <xdr:rowOff>76200</xdr:rowOff>
                  </from>
                  <to>
                    <xdr:col>5</xdr:col>
                    <xdr:colOff>95250</xdr:colOff>
                    <xdr:row>13</xdr:row>
                    <xdr:rowOff>316230</xdr:rowOff>
                  </to>
                </anchor>
              </controlPr>
            </control>
          </mc:Choice>
        </mc:AlternateContent>
        <mc:AlternateContent xmlns:mc="http://schemas.openxmlformats.org/markup-compatibility/2006">
          <mc:Choice Requires="x14">
            <control shapeId="16394" r:id="rId13" name="Check Box 10">
              <controlPr locked="0" defaultSize="0" autoFill="0" autoLine="0" autoPict="0">
                <anchor moveWithCells="1">
                  <from>
                    <xdr:col>6</xdr:col>
                    <xdr:colOff>11430</xdr:colOff>
                    <xdr:row>10</xdr:row>
                    <xdr:rowOff>95250</xdr:rowOff>
                  </from>
                  <to>
                    <xdr:col>7</xdr:col>
                    <xdr:colOff>95250</xdr:colOff>
                    <xdr:row>10</xdr:row>
                    <xdr:rowOff>323850</xdr:rowOff>
                  </to>
                </anchor>
              </controlPr>
            </control>
          </mc:Choice>
        </mc:AlternateContent>
        <mc:AlternateContent xmlns:mc="http://schemas.openxmlformats.org/markup-compatibility/2006">
          <mc:Choice Requires="x14">
            <control shapeId="16395" r:id="rId14" name="Check Box 11">
              <controlPr locked="0" defaultSize="0" autoFill="0" autoLine="0" autoPict="0">
                <anchor moveWithCells="1">
                  <from>
                    <xdr:col>8</xdr:col>
                    <xdr:colOff>11430</xdr:colOff>
                    <xdr:row>10</xdr:row>
                    <xdr:rowOff>95250</xdr:rowOff>
                  </from>
                  <to>
                    <xdr:col>9</xdr:col>
                    <xdr:colOff>95250</xdr:colOff>
                    <xdr:row>10</xdr:row>
                    <xdr:rowOff>323850</xdr:rowOff>
                  </to>
                </anchor>
              </controlPr>
            </control>
          </mc:Choice>
        </mc:AlternateContent>
        <mc:AlternateContent xmlns:mc="http://schemas.openxmlformats.org/markup-compatibility/2006">
          <mc:Choice Requires="x14">
            <control shapeId="16396" r:id="rId15" name="Check Box 12">
              <controlPr locked="0" defaultSize="0" autoFill="0" autoLine="0" autoPict="0">
                <anchor moveWithCells="1">
                  <from>
                    <xdr:col>8</xdr:col>
                    <xdr:colOff>11430</xdr:colOff>
                    <xdr:row>13</xdr:row>
                    <xdr:rowOff>87630</xdr:rowOff>
                  </from>
                  <to>
                    <xdr:col>9</xdr:col>
                    <xdr:colOff>95250</xdr:colOff>
                    <xdr:row>13</xdr:row>
                    <xdr:rowOff>323850</xdr:rowOff>
                  </to>
                </anchor>
              </controlPr>
            </control>
          </mc:Choice>
        </mc:AlternateContent>
        <mc:AlternateContent xmlns:mc="http://schemas.openxmlformats.org/markup-compatibility/2006">
          <mc:Choice Requires="x14">
            <control shapeId="16397" r:id="rId16" name="Check Box 13">
              <controlPr locked="0" defaultSize="0" autoFill="0" autoLine="0" autoPict="0">
                <anchor moveWithCells="1">
                  <from>
                    <xdr:col>10</xdr:col>
                    <xdr:colOff>11430</xdr:colOff>
                    <xdr:row>10</xdr:row>
                    <xdr:rowOff>95250</xdr:rowOff>
                  </from>
                  <to>
                    <xdr:col>11</xdr:col>
                    <xdr:colOff>95250</xdr:colOff>
                    <xdr:row>10</xdr:row>
                    <xdr:rowOff>323850</xdr:rowOff>
                  </to>
                </anchor>
              </controlPr>
            </control>
          </mc:Choice>
        </mc:AlternateContent>
        <mc:AlternateContent xmlns:mc="http://schemas.openxmlformats.org/markup-compatibility/2006">
          <mc:Choice Requires="x14">
            <control shapeId="16398" r:id="rId17" name="Check Box 14">
              <controlPr locked="0" defaultSize="0" autoFill="0" autoLine="0" autoPict="0">
                <anchor moveWithCells="1">
                  <from>
                    <xdr:col>12</xdr:col>
                    <xdr:colOff>19050</xdr:colOff>
                    <xdr:row>10</xdr:row>
                    <xdr:rowOff>95250</xdr:rowOff>
                  </from>
                  <to>
                    <xdr:col>13</xdr:col>
                    <xdr:colOff>106680</xdr:colOff>
                    <xdr:row>10</xdr:row>
                    <xdr:rowOff>323850</xdr:rowOff>
                  </to>
                </anchor>
              </controlPr>
            </control>
          </mc:Choice>
        </mc:AlternateContent>
        <mc:AlternateContent xmlns:mc="http://schemas.openxmlformats.org/markup-compatibility/2006">
          <mc:Choice Requires="x14">
            <control shapeId="16399" r:id="rId18" name="Check Box 15">
              <controlPr locked="0" defaultSize="0" autoFill="0" autoLine="0" autoPict="0">
                <anchor moveWithCells="1">
                  <from>
                    <xdr:col>2</xdr:col>
                    <xdr:colOff>11430</xdr:colOff>
                    <xdr:row>14</xdr:row>
                    <xdr:rowOff>38100</xdr:rowOff>
                  </from>
                  <to>
                    <xdr:col>3</xdr:col>
                    <xdr:colOff>95250</xdr:colOff>
                    <xdr:row>14</xdr:row>
                    <xdr:rowOff>285750</xdr:rowOff>
                  </to>
                </anchor>
              </controlPr>
            </control>
          </mc:Choice>
        </mc:AlternateContent>
        <mc:AlternateContent xmlns:mc="http://schemas.openxmlformats.org/markup-compatibility/2006">
          <mc:Choice Requires="x14">
            <control shapeId="16400" r:id="rId19" name="Check Box 16">
              <controlPr locked="0" defaultSize="0" autoFill="0" autoLine="0" autoPict="0">
                <anchor moveWithCells="1">
                  <from>
                    <xdr:col>6</xdr:col>
                    <xdr:colOff>11430</xdr:colOff>
                    <xdr:row>14</xdr:row>
                    <xdr:rowOff>49530</xdr:rowOff>
                  </from>
                  <to>
                    <xdr:col>7</xdr:col>
                    <xdr:colOff>95250</xdr:colOff>
                    <xdr:row>14</xdr:row>
                    <xdr:rowOff>323850</xdr:rowOff>
                  </to>
                </anchor>
              </controlPr>
            </control>
          </mc:Choice>
        </mc:AlternateContent>
        <mc:AlternateContent xmlns:mc="http://schemas.openxmlformats.org/markup-compatibility/2006">
          <mc:Choice Requires="x14">
            <control shapeId="16401" r:id="rId20" name="Check Box 17">
              <controlPr locked="0" defaultSize="0" autoFill="0" autoLine="0" autoPict="0">
                <anchor moveWithCells="1">
                  <from>
                    <xdr:col>8</xdr:col>
                    <xdr:colOff>11430</xdr:colOff>
                    <xdr:row>14</xdr:row>
                    <xdr:rowOff>30480</xdr:rowOff>
                  </from>
                  <to>
                    <xdr:col>9</xdr:col>
                    <xdr:colOff>95250</xdr:colOff>
                    <xdr:row>14</xdr:row>
                    <xdr:rowOff>323850</xdr:rowOff>
                  </to>
                </anchor>
              </controlPr>
            </control>
          </mc:Choice>
        </mc:AlternateContent>
        <mc:AlternateContent xmlns:mc="http://schemas.openxmlformats.org/markup-compatibility/2006">
          <mc:Choice Requires="x14">
            <control shapeId="16402" r:id="rId21" name="Check Box 18">
              <controlPr locked="0" defaultSize="0" autoFill="0" autoLine="0" autoPict="0">
                <anchor moveWithCells="1">
                  <from>
                    <xdr:col>10</xdr:col>
                    <xdr:colOff>11430</xdr:colOff>
                    <xdr:row>14</xdr:row>
                    <xdr:rowOff>38100</xdr:rowOff>
                  </from>
                  <to>
                    <xdr:col>11</xdr:col>
                    <xdr:colOff>95250</xdr:colOff>
                    <xdr:row>14</xdr:row>
                    <xdr:rowOff>323850</xdr:rowOff>
                  </to>
                </anchor>
              </controlPr>
            </control>
          </mc:Choice>
        </mc:AlternateContent>
        <mc:AlternateContent xmlns:mc="http://schemas.openxmlformats.org/markup-compatibility/2006">
          <mc:Choice Requires="x14">
            <control shapeId="16403" r:id="rId22" name="Check Box 19">
              <controlPr locked="0" defaultSize="0" autoFill="0" autoLine="0" autoPict="0">
                <anchor moveWithCells="1">
                  <from>
                    <xdr:col>10</xdr:col>
                    <xdr:colOff>11430</xdr:colOff>
                    <xdr:row>15</xdr:row>
                    <xdr:rowOff>76200</xdr:rowOff>
                  </from>
                  <to>
                    <xdr:col>11</xdr:col>
                    <xdr:colOff>95250</xdr:colOff>
                    <xdr:row>15</xdr:row>
                    <xdr:rowOff>304800</xdr:rowOff>
                  </to>
                </anchor>
              </controlPr>
            </control>
          </mc:Choice>
        </mc:AlternateContent>
        <mc:AlternateContent xmlns:mc="http://schemas.openxmlformats.org/markup-compatibility/2006">
          <mc:Choice Requires="x14">
            <control shapeId="16404" r:id="rId23" name="Check Box 20">
              <controlPr locked="0" defaultSize="0" autoFill="0" autoLine="0" autoPict="0">
                <anchor moveWithCells="1">
                  <from>
                    <xdr:col>8</xdr:col>
                    <xdr:colOff>11430</xdr:colOff>
                    <xdr:row>15</xdr:row>
                    <xdr:rowOff>76200</xdr:rowOff>
                  </from>
                  <to>
                    <xdr:col>9</xdr:col>
                    <xdr:colOff>95250</xdr:colOff>
                    <xdr:row>15</xdr:row>
                    <xdr:rowOff>304800</xdr:rowOff>
                  </to>
                </anchor>
              </controlPr>
            </control>
          </mc:Choice>
        </mc:AlternateContent>
        <mc:AlternateContent xmlns:mc="http://schemas.openxmlformats.org/markup-compatibility/2006">
          <mc:Choice Requires="x14">
            <control shapeId="16405" r:id="rId24" name="Check Box 21">
              <controlPr locked="0" defaultSize="0" autoFill="0" autoLine="0" autoPict="0">
                <anchor moveWithCells="1">
                  <from>
                    <xdr:col>6</xdr:col>
                    <xdr:colOff>11430</xdr:colOff>
                    <xdr:row>15</xdr:row>
                    <xdr:rowOff>76200</xdr:rowOff>
                  </from>
                  <to>
                    <xdr:col>7</xdr:col>
                    <xdr:colOff>95250</xdr:colOff>
                    <xdr:row>15</xdr:row>
                    <xdr:rowOff>304800</xdr:rowOff>
                  </to>
                </anchor>
              </controlPr>
            </control>
          </mc:Choice>
        </mc:AlternateContent>
        <mc:AlternateContent xmlns:mc="http://schemas.openxmlformats.org/markup-compatibility/2006">
          <mc:Choice Requires="x14">
            <control shapeId="16406" r:id="rId25" name="Check Box 22">
              <controlPr locked="0" defaultSize="0" autoFill="0" autoLine="0" autoPict="0">
                <anchor moveWithCells="1">
                  <from>
                    <xdr:col>8</xdr:col>
                    <xdr:colOff>0</xdr:colOff>
                    <xdr:row>16</xdr:row>
                    <xdr:rowOff>106680</xdr:rowOff>
                  </from>
                  <to>
                    <xdr:col>9</xdr:col>
                    <xdr:colOff>87630</xdr:colOff>
                    <xdr:row>16</xdr:row>
                    <xdr:rowOff>335280</xdr:rowOff>
                  </to>
                </anchor>
              </controlPr>
            </control>
          </mc:Choice>
        </mc:AlternateContent>
        <mc:AlternateContent xmlns:mc="http://schemas.openxmlformats.org/markup-compatibility/2006">
          <mc:Choice Requires="x14">
            <control shapeId="16407" r:id="rId26" name="Check Box 23">
              <controlPr locked="0" defaultSize="0" autoFill="0" autoLine="0" autoPict="0">
                <anchor moveWithCells="1">
                  <from>
                    <xdr:col>10</xdr:col>
                    <xdr:colOff>11430</xdr:colOff>
                    <xdr:row>16</xdr:row>
                    <xdr:rowOff>114300</xdr:rowOff>
                  </from>
                  <to>
                    <xdr:col>11</xdr:col>
                    <xdr:colOff>95250</xdr:colOff>
                    <xdr:row>16</xdr:row>
                    <xdr:rowOff>342900</xdr:rowOff>
                  </to>
                </anchor>
              </controlPr>
            </control>
          </mc:Choice>
        </mc:AlternateContent>
        <mc:AlternateContent xmlns:mc="http://schemas.openxmlformats.org/markup-compatibility/2006">
          <mc:Choice Requires="x14">
            <control shapeId="16408" r:id="rId27" name="Check Box 24">
              <controlPr locked="0" defaultSize="0" autoFill="0" autoLine="0" autoPict="0">
                <anchor moveWithCells="1">
                  <from>
                    <xdr:col>2</xdr:col>
                    <xdr:colOff>11430</xdr:colOff>
                    <xdr:row>15</xdr:row>
                    <xdr:rowOff>152400</xdr:rowOff>
                  </from>
                  <to>
                    <xdr:col>3</xdr:col>
                    <xdr:colOff>95250</xdr:colOff>
                    <xdr:row>15</xdr:row>
                    <xdr:rowOff>381000</xdr:rowOff>
                  </to>
                </anchor>
              </controlPr>
            </control>
          </mc:Choice>
        </mc:AlternateContent>
        <mc:AlternateContent xmlns:mc="http://schemas.openxmlformats.org/markup-compatibility/2006">
          <mc:Choice Requires="x14">
            <control shapeId="16409" r:id="rId28" name="Check Box 25">
              <controlPr locked="0" defaultSize="0" autoFill="0" autoLine="0" autoPict="0">
                <anchor moveWithCells="1">
                  <from>
                    <xdr:col>4</xdr:col>
                    <xdr:colOff>11430</xdr:colOff>
                    <xdr:row>17</xdr:row>
                    <xdr:rowOff>106680</xdr:rowOff>
                  </from>
                  <to>
                    <xdr:col>5</xdr:col>
                    <xdr:colOff>95250</xdr:colOff>
                    <xdr:row>17</xdr:row>
                    <xdr:rowOff>335280</xdr:rowOff>
                  </to>
                </anchor>
              </controlPr>
            </control>
          </mc:Choice>
        </mc:AlternateContent>
        <mc:AlternateContent xmlns:mc="http://schemas.openxmlformats.org/markup-compatibility/2006">
          <mc:Choice Requires="x14">
            <control shapeId="16410" r:id="rId29" name="Check Box 26">
              <controlPr locked="0" defaultSize="0" autoFill="0" autoLine="0" autoPict="0">
                <anchor moveWithCells="1">
                  <from>
                    <xdr:col>4</xdr:col>
                    <xdr:colOff>11430</xdr:colOff>
                    <xdr:row>18</xdr:row>
                    <xdr:rowOff>76200</xdr:rowOff>
                  </from>
                  <to>
                    <xdr:col>5</xdr:col>
                    <xdr:colOff>95250</xdr:colOff>
                    <xdr:row>18</xdr:row>
                    <xdr:rowOff>304800</xdr:rowOff>
                  </to>
                </anchor>
              </controlPr>
            </control>
          </mc:Choice>
        </mc:AlternateContent>
        <mc:AlternateContent xmlns:mc="http://schemas.openxmlformats.org/markup-compatibility/2006">
          <mc:Choice Requires="x14">
            <control shapeId="16411" r:id="rId30" name="Check Box 27">
              <controlPr locked="0" defaultSize="0" autoFill="0" autoLine="0" autoPict="0">
                <anchor moveWithCells="1">
                  <from>
                    <xdr:col>4</xdr:col>
                    <xdr:colOff>11430</xdr:colOff>
                    <xdr:row>19</xdr:row>
                    <xdr:rowOff>68580</xdr:rowOff>
                  </from>
                  <to>
                    <xdr:col>5</xdr:col>
                    <xdr:colOff>95250</xdr:colOff>
                    <xdr:row>19</xdr:row>
                    <xdr:rowOff>297180</xdr:rowOff>
                  </to>
                </anchor>
              </controlPr>
            </control>
          </mc:Choice>
        </mc:AlternateContent>
        <mc:AlternateContent xmlns:mc="http://schemas.openxmlformats.org/markup-compatibility/2006">
          <mc:Choice Requires="x14">
            <control shapeId="16412" r:id="rId31" name="Check Box 28">
              <controlPr locked="0" defaultSize="0" autoFill="0" autoLine="0" autoPict="0">
                <anchor moveWithCells="1">
                  <from>
                    <xdr:col>6</xdr:col>
                    <xdr:colOff>11430</xdr:colOff>
                    <xdr:row>19</xdr:row>
                    <xdr:rowOff>38100</xdr:rowOff>
                  </from>
                  <to>
                    <xdr:col>7</xdr:col>
                    <xdr:colOff>95250</xdr:colOff>
                    <xdr:row>19</xdr:row>
                    <xdr:rowOff>266700</xdr:rowOff>
                  </to>
                </anchor>
              </controlPr>
            </control>
          </mc:Choice>
        </mc:AlternateContent>
        <mc:AlternateContent xmlns:mc="http://schemas.openxmlformats.org/markup-compatibility/2006">
          <mc:Choice Requires="x14">
            <control shapeId="16413" r:id="rId32" name="Check Box 29">
              <controlPr locked="0" defaultSize="0" autoFill="0" autoLine="0" autoPict="0">
                <anchor moveWithCells="1">
                  <from>
                    <xdr:col>6</xdr:col>
                    <xdr:colOff>11430</xdr:colOff>
                    <xdr:row>20</xdr:row>
                    <xdr:rowOff>57150</xdr:rowOff>
                  </from>
                  <to>
                    <xdr:col>7</xdr:col>
                    <xdr:colOff>95250</xdr:colOff>
                    <xdr:row>20</xdr:row>
                    <xdr:rowOff>285750</xdr:rowOff>
                  </to>
                </anchor>
              </controlPr>
            </control>
          </mc:Choice>
        </mc:AlternateContent>
        <mc:AlternateContent xmlns:mc="http://schemas.openxmlformats.org/markup-compatibility/2006">
          <mc:Choice Requires="x14">
            <control shapeId="16414" r:id="rId33" name="Check Box 30">
              <controlPr locked="0" defaultSize="0" autoFill="0" autoLine="0" autoPict="0">
                <anchor moveWithCells="1">
                  <from>
                    <xdr:col>4</xdr:col>
                    <xdr:colOff>11430</xdr:colOff>
                    <xdr:row>20</xdr:row>
                    <xdr:rowOff>57150</xdr:rowOff>
                  </from>
                  <to>
                    <xdr:col>5</xdr:col>
                    <xdr:colOff>95250</xdr:colOff>
                    <xdr:row>20</xdr:row>
                    <xdr:rowOff>285750</xdr:rowOff>
                  </to>
                </anchor>
              </controlPr>
            </control>
          </mc:Choice>
        </mc:AlternateContent>
        <mc:AlternateContent xmlns:mc="http://schemas.openxmlformats.org/markup-compatibility/2006">
          <mc:Choice Requires="x14">
            <control shapeId="16415" r:id="rId34" name="Check Box 31">
              <controlPr locked="0" defaultSize="0" autoFill="0" autoLine="0" autoPict="0">
                <anchor moveWithCells="1">
                  <from>
                    <xdr:col>8</xdr:col>
                    <xdr:colOff>0</xdr:colOff>
                    <xdr:row>17</xdr:row>
                    <xdr:rowOff>87630</xdr:rowOff>
                  </from>
                  <to>
                    <xdr:col>9</xdr:col>
                    <xdr:colOff>87630</xdr:colOff>
                    <xdr:row>17</xdr:row>
                    <xdr:rowOff>316230</xdr:rowOff>
                  </to>
                </anchor>
              </controlPr>
            </control>
          </mc:Choice>
        </mc:AlternateContent>
        <mc:AlternateContent xmlns:mc="http://schemas.openxmlformats.org/markup-compatibility/2006">
          <mc:Choice Requires="x14">
            <control shapeId="16416" r:id="rId35" name="Check Box 32">
              <controlPr locked="0" defaultSize="0" autoFill="0" autoLine="0" autoPict="0">
                <anchor moveWithCells="1">
                  <from>
                    <xdr:col>6</xdr:col>
                    <xdr:colOff>11430</xdr:colOff>
                    <xdr:row>7</xdr:row>
                    <xdr:rowOff>68580</xdr:rowOff>
                  </from>
                  <to>
                    <xdr:col>7</xdr:col>
                    <xdr:colOff>95250</xdr:colOff>
                    <xdr:row>7</xdr:row>
                    <xdr:rowOff>297180</xdr:rowOff>
                  </to>
                </anchor>
              </controlPr>
            </control>
          </mc:Choice>
        </mc:AlternateContent>
        <mc:AlternateContent xmlns:mc="http://schemas.openxmlformats.org/markup-compatibility/2006">
          <mc:Choice Requires="x14">
            <control shapeId="16417" r:id="rId36" name="Button 33">
              <controlPr defaultSize="0" print="0" autoFill="0" autoPict="0" macro="[0]!UncheckAll_Click" altText="Uncheck All">
                <anchor moveWithCells="1" sizeWithCells="1">
                  <from>
                    <xdr:col>11</xdr:col>
                    <xdr:colOff>552450</xdr:colOff>
                    <xdr:row>3</xdr:row>
                    <xdr:rowOff>0</xdr:rowOff>
                  </from>
                  <to>
                    <xdr:col>12</xdr:col>
                    <xdr:colOff>0</xdr:colOff>
                    <xdr:row>3</xdr:row>
                    <xdr:rowOff>278130</xdr:rowOff>
                  </to>
                </anchor>
              </controlPr>
            </control>
          </mc:Choice>
        </mc:AlternateContent>
        <mc:AlternateContent xmlns:mc="http://schemas.openxmlformats.org/markup-compatibility/2006">
          <mc:Choice Requires="x14">
            <control shapeId="16418" r:id="rId37" name="Check Box 34">
              <controlPr locked="0" defaultSize="0" autoFill="0" autoLine="0" autoPict="0">
                <anchor moveWithCells="1">
                  <from>
                    <xdr:col>6</xdr:col>
                    <xdr:colOff>11430</xdr:colOff>
                    <xdr:row>17</xdr:row>
                    <xdr:rowOff>68580</xdr:rowOff>
                  </from>
                  <to>
                    <xdr:col>7</xdr:col>
                    <xdr:colOff>95250</xdr:colOff>
                    <xdr:row>17</xdr:row>
                    <xdr:rowOff>297180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J56"/>
  <sheetViews>
    <sheetView showGridLines="0" showRowColHeaders="0" view="pageBreakPreview" zoomScale="80" zoomScaleNormal="100" zoomScaleSheetLayoutView="80" workbookViewId="0">
      <pane xSplit="1" ySplit="6" topLeftCell="B7" activePane="bottomRight" state="frozen"/>
      <selection activeCell="G2" sqref="G2"/>
      <selection pane="topRight" activeCell="G2" sqref="G2"/>
      <selection pane="bottomLeft" activeCell="G2" sqref="G2"/>
      <selection pane="bottomRight" activeCell="E2" sqref="E2"/>
    </sheetView>
  </sheetViews>
  <sheetFormatPr defaultColWidth="9.15625" defaultRowHeight="14.1" x14ac:dyDescent="0.45"/>
  <cols>
    <col min="1" max="2" width="4.68359375" style="2" customWidth="1"/>
    <col min="3" max="3" width="6.68359375" style="6" customWidth="1"/>
    <col min="4" max="4" width="16.26171875" style="6" customWidth="1"/>
    <col min="5" max="5" width="42.26171875" style="6" customWidth="1"/>
    <col min="6" max="6" width="2.68359375" style="6" customWidth="1"/>
    <col min="7" max="7" width="16.15625" style="6" customWidth="1"/>
    <col min="8" max="8" width="34" style="2" customWidth="1"/>
    <col min="9" max="9" width="11.15625" style="4" customWidth="1"/>
    <col min="10" max="10" width="10.83984375" style="8" hidden="1" customWidth="1"/>
    <col min="11" max="16384" width="9.15625" style="1"/>
  </cols>
  <sheetData>
    <row r="1" spans="1:10" s="46" customFormat="1" ht="6" customHeight="1" thickBot="1" x14ac:dyDescent="0.5">
      <c r="A1" s="70"/>
      <c r="B1" s="70"/>
      <c r="C1" s="71"/>
      <c r="D1" s="71"/>
      <c r="E1" s="71"/>
      <c r="F1" s="71"/>
      <c r="G1" s="71"/>
      <c r="H1" s="70"/>
      <c r="I1" s="72"/>
      <c r="J1" s="45"/>
    </row>
    <row r="2" spans="1:10" s="22" customFormat="1" ht="23.1" customHeight="1" thickBot="1" x14ac:dyDescent="0.6">
      <c r="A2" s="70"/>
      <c r="B2" s="324" t="s">
        <v>179</v>
      </c>
      <c r="C2" s="324"/>
      <c r="D2" s="324"/>
      <c r="E2" s="73" t="s">
        <v>145</v>
      </c>
      <c r="F2" s="74"/>
      <c r="G2" s="75" t="s">
        <v>92</v>
      </c>
      <c r="H2" s="306" t="str">
        <f>IF(J36="Pathogenic (Ia)","Pathogenic (Ia)",IF(J37="Pathogenic (Ib)","Pathogenic (Ib)",IF(J38="Pathogenic (Ic)","Pathogenic (Ic)",IF(J39="Pathogenic (Id)","Pathogenic (Id)",IF(J40="Pathogenic (II)","Pathogenic (II)",IF(J41="Pathogenic (IIIa)","Pathogenic (IIIa)",IF(J42="Pathogenic (IIIb)","Pathogenic (IIIb)",IF(J43="Pathogenic (IIIc)","Pathogenic (IIIc)",IF(J44="Likely Pathogenic (I)","Likely Pathogenic (I)",IF(J45="Likely Pathogenic (II)","Likely Pathogenic (II)",IF(J46="Likely Pathogenic (III)","Likely Pathogenic (III)",IF(J47="Likely Pathogenic (IV)","Likely Pathogenic (IV)",IF(J48="Likely Pathogenic (V)","Likely Pathogenic (V)",IF(J49="Likely Pathogenic (VI)","Likely Pathogenic (VI)",IF(J50="VUS - Insufficient evidence","VUS - Insufficient evidence",IF(J51="VUS - Conflicting evidence","VUS - Conflicting evidence",IF(J52="Likely Benign (I)","Likely Benign (I)",IF(J53="Likely Benign (II)","Likely Benign (II)",IF(J54="Benign (I)","Benign (I)",IF(J55="Benign (II)","Benign (II)"))))))))))))))))))))</f>
        <v>VUS - Insufficient evidence</v>
      </c>
      <c r="I2" s="308"/>
      <c r="J2" s="20"/>
    </row>
    <row r="3" spans="1:10" s="46" customFormat="1" ht="6" customHeight="1" x14ac:dyDescent="0.45">
      <c r="A3" s="70"/>
      <c r="B3" s="70"/>
      <c r="C3" s="71"/>
      <c r="D3" s="71"/>
      <c r="E3" s="71"/>
      <c r="F3" s="71"/>
      <c r="G3" s="71"/>
      <c r="H3" s="70"/>
      <c r="I3" s="72"/>
      <c r="J3" s="45"/>
    </row>
    <row r="4" spans="1:10" s="22" customFormat="1" ht="23.1" customHeight="1" thickBot="1" x14ac:dyDescent="0.6">
      <c r="A4" s="70"/>
      <c r="B4" s="324" t="s">
        <v>117</v>
      </c>
      <c r="C4" s="324"/>
      <c r="D4" s="324"/>
      <c r="E4" s="76" t="str">
        <f>IF(H2="Pathogenic (Ia)","PVS + PS (+ PS)",IF(H2="Pathogenic (Ib)","PVS + PM + PM (+ PM)",IF(H2="Pathogenic (Ic)","PVS + PM + PP",IF(H2="Pathogenic (Id)","PVS + PP + PP (+ PP)",IF(H2="Pathogenic (II)","PVS + PS + PS",IF(H2="Pathogenic (IIIa)","PS + PM + PM + PM (+ PM)",IF(H2="Pathogenic (IIIb)","PS + PM + PM + PP + PP (+ PP)",IF(H2="Pathogenic (IIIc)","PS + PM + PP + PP + PP + PP (+ PP)",IF(H2="Likely Pathogenic (I)","PVS + PM",IF(H2="Likely Pathogenic (II)","PS + PM (+ PM)",IF(H2="Likely Pathogenic (III)","PS + PP + PP (+ PP)",IF(H2="Likely Pathogenic (IV)","PM + PM + PM (+ PM)",IF(H2="Likely Pathogenic (V)","PM + PM + PP + PP (+ PP)",IF(H2="Likely Pathogenic (VI)","PM + PP + PP + PP + PP (+ PP)",IF(H2="VUS - Insufficient evidence","Insufficient evidence",IF(H2="VUS - Conflicting evidence","Conflicting evidence",IF(H2="Likely Benign (I)","BS + BP",IF(H2="Likely Benign (II)","BP + BP (+ BP)",IF(H2="Benign (I)","BA1",IF(H2="Benign (II)","BS + BS (+ BS)"))))))))))))))))))))</f>
        <v>Insufficient evidence</v>
      </c>
      <c r="F4" s="74"/>
      <c r="G4" s="161" t="s">
        <v>178</v>
      </c>
      <c r="H4" s="163" t="s">
        <v>176</v>
      </c>
      <c r="I4" s="70"/>
      <c r="J4" s="20"/>
    </row>
    <row r="5" spans="1:10" s="48" customFormat="1" ht="6" customHeight="1" thickBot="1" x14ac:dyDescent="0.6">
      <c r="A5" s="74"/>
      <c r="B5" s="74"/>
      <c r="C5" s="74"/>
      <c r="D5" s="74"/>
      <c r="E5" s="74"/>
      <c r="F5" s="74"/>
      <c r="G5" s="74"/>
      <c r="H5" s="77"/>
      <c r="I5" s="78"/>
      <c r="J5" s="47"/>
    </row>
    <row r="6" spans="1:10" s="3" customFormat="1" ht="20.100000000000001" customHeight="1" thickBot="1" x14ac:dyDescent="0.6">
      <c r="A6" s="44"/>
      <c r="B6" s="329" t="s">
        <v>2</v>
      </c>
      <c r="C6" s="329"/>
      <c r="D6" s="326" t="s">
        <v>93</v>
      </c>
      <c r="E6" s="326"/>
      <c r="F6" s="326"/>
      <c r="G6" s="326"/>
      <c r="H6" s="326"/>
      <c r="I6" s="43" t="s">
        <v>94</v>
      </c>
      <c r="J6" s="7"/>
    </row>
    <row r="7" spans="1:10" ht="85" customHeight="1" thickBot="1" x14ac:dyDescent="0.25">
      <c r="A7" s="331" t="s">
        <v>0</v>
      </c>
      <c r="B7" s="35" t="s">
        <v>42</v>
      </c>
      <c r="C7" s="36" t="s">
        <v>41</v>
      </c>
      <c r="D7" s="327" t="s">
        <v>105</v>
      </c>
      <c r="E7" s="327"/>
      <c r="F7" s="327"/>
      <c r="G7" s="327"/>
      <c r="H7" s="327"/>
      <c r="I7" s="157" t="b">
        <v>0</v>
      </c>
      <c r="J7" s="8">
        <f>COUNTIF(I7,TRUE)</f>
        <v>0</v>
      </c>
    </row>
    <row r="8" spans="1:10" ht="42" customHeight="1" x14ac:dyDescent="0.2">
      <c r="A8" s="332"/>
      <c r="B8" s="337" t="s">
        <v>1</v>
      </c>
      <c r="C8" s="37" t="s">
        <v>43</v>
      </c>
      <c r="D8" s="325" t="s">
        <v>106</v>
      </c>
      <c r="E8" s="325"/>
      <c r="F8" s="325"/>
      <c r="G8" s="325"/>
      <c r="H8" s="325"/>
      <c r="I8" s="158" t="b">
        <v>0</v>
      </c>
      <c r="J8" s="330">
        <f>COUNTIF(I8:I11,TRUE)</f>
        <v>0</v>
      </c>
    </row>
    <row r="9" spans="1:10" ht="42" customHeight="1" x14ac:dyDescent="0.2">
      <c r="A9" s="332"/>
      <c r="B9" s="338"/>
      <c r="C9" s="33" t="s">
        <v>44</v>
      </c>
      <c r="D9" s="323" t="s">
        <v>107</v>
      </c>
      <c r="E9" s="323"/>
      <c r="F9" s="323"/>
      <c r="G9" s="323"/>
      <c r="H9" s="323"/>
      <c r="I9" s="159" t="b">
        <v>0</v>
      </c>
      <c r="J9" s="330"/>
    </row>
    <row r="10" spans="1:10" ht="42" customHeight="1" x14ac:dyDescent="0.2">
      <c r="A10" s="332"/>
      <c r="B10" s="338"/>
      <c r="C10" s="33" t="s">
        <v>45</v>
      </c>
      <c r="D10" s="323" t="s">
        <v>108</v>
      </c>
      <c r="E10" s="323"/>
      <c r="F10" s="323"/>
      <c r="G10" s="323"/>
      <c r="H10" s="323"/>
      <c r="I10" s="159" t="b">
        <v>0</v>
      </c>
      <c r="J10" s="330"/>
    </row>
    <row r="11" spans="1:10" ht="75" customHeight="1" thickBot="1" x14ac:dyDescent="0.25">
      <c r="A11" s="332"/>
      <c r="B11" s="339"/>
      <c r="C11" s="38" t="s">
        <v>46</v>
      </c>
      <c r="D11" s="328" t="s">
        <v>109</v>
      </c>
      <c r="E11" s="328"/>
      <c r="F11" s="328"/>
      <c r="G11" s="328"/>
      <c r="H11" s="328"/>
      <c r="I11" s="160" t="b">
        <v>0</v>
      </c>
      <c r="J11" s="330"/>
    </row>
    <row r="12" spans="1:10" ht="32.1" customHeight="1" x14ac:dyDescent="0.2">
      <c r="A12" s="332"/>
      <c r="B12" s="337" t="s">
        <v>3</v>
      </c>
      <c r="C12" s="37" t="s">
        <v>47</v>
      </c>
      <c r="D12" s="325" t="s">
        <v>40</v>
      </c>
      <c r="E12" s="325"/>
      <c r="F12" s="325"/>
      <c r="G12" s="325"/>
      <c r="H12" s="325"/>
      <c r="I12" s="158" t="b">
        <v>0</v>
      </c>
      <c r="J12" s="330">
        <f>COUNTIF(I12:I17,TRUE)</f>
        <v>0</v>
      </c>
    </row>
    <row r="13" spans="1:10" ht="42" customHeight="1" x14ac:dyDescent="0.2">
      <c r="A13" s="332"/>
      <c r="B13" s="338"/>
      <c r="C13" s="33" t="s">
        <v>48</v>
      </c>
      <c r="D13" s="323" t="s">
        <v>110</v>
      </c>
      <c r="E13" s="323"/>
      <c r="F13" s="323"/>
      <c r="G13" s="323"/>
      <c r="H13" s="323"/>
      <c r="I13" s="159" t="b">
        <v>0</v>
      </c>
      <c r="J13" s="330"/>
    </row>
    <row r="14" spans="1:10" ht="32.1" customHeight="1" x14ac:dyDescent="0.2">
      <c r="A14" s="332"/>
      <c r="B14" s="338"/>
      <c r="C14" s="33" t="s">
        <v>49</v>
      </c>
      <c r="D14" s="323" t="s">
        <v>111</v>
      </c>
      <c r="E14" s="323"/>
      <c r="F14" s="323"/>
      <c r="G14" s="323"/>
      <c r="H14" s="323"/>
      <c r="I14" s="159" t="b">
        <v>0</v>
      </c>
      <c r="J14" s="330"/>
    </row>
    <row r="15" spans="1:10" ht="24" customHeight="1" x14ac:dyDescent="0.2">
      <c r="A15" s="332"/>
      <c r="B15" s="338"/>
      <c r="C15" s="33" t="s">
        <v>50</v>
      </c>
      <c r="D15" s="323" t="s">
        <v>59</v>
      </c>
      <c r="E15" s="323"/>
      <c r="F15" s="323"/>
      <c r="G15" s="323"/>
      <c r="H15" s="323"/>
      <c r="I15" s="159" t="b">
        <v>0</v>
      </c>
      <c r="J15" s="330"/>
    </row>
    <row r="16" spans="1:10" ht="48" customHeight="1" x14ac:dyDescent="0.2">
      <c r="A16" s="332"/>
      <c r="B16" s="338"/>
      <c r="C16" s="33" t="s">
        <v>51</v>
      </c>
      <c r="D16" s="323" t="s">
        <v>112</v>
      </c>
      <c r="E16" s="323"/>
      <c r="F16" s="323"/>
      <c r="G16" s="323"/>
      <c r="H16" s="323"/>
      <c r="I16" s="159" t="b">
        <v>0</v>
      </c>
      <c r="J16" s="330"/>
    </row>
    <row r="17" spans="1:10" ht="24" customHeight="1" thickBot="1" x14ac:dyDescent="0.25">
      <c r="A17" s="332"/>
      <c r="B17" s="339"/>
      <c r="C17" s="38" t="s">
        <v>52</v>
      </c>
      <c r="D17" s="328" t="s">
        <v>60</v>
      </c>
      <c r="E17" s="328"/>
      <c r="F17" s="328"/>
      <c r="G17" s="328"/>
      <c r="H17" s="328"/>
      <c r="I17" s="160" t="b">
        <v>0</v>
      </c>
      <c r="J17" s="330"/>
    </row>
    <row r="18" spans="1:10" ht="32.1" customHeight="1" x14ac:dyDescent="0.2">
      <c r="A18" s="332"/>
      <c r="B18" s="337" t="s">
        <v>4</v>
      </c>
      <c r="C18" s="39" t="s">
        <v>53</v>
      </c>
      <c r="D18" s="325" t="s">
        <v>113</v>
      </c>
      <c r="E18" s="325"/>
      <c r="F18" s="325"/>
      <c r="G18" s="325"/>
      <c r="H18" s="325"/>
      <c r="I18" s="158" t="b">
        <v>0</v>
      </c>
      <c r="J18" s="330">
        <f>COUNTIF(I18:I22,TRUE)</f>
        <v>0</v>
      </c>
    </row>
    <row r="19" spans="1:10" ht="32.1" customHeight="1" x14ac:dyDescent="0.2">
      <c r="A19" s="332"/>
      <c r="B19" s="338"/>
      <c r="C19" s="34" t="s">
        <v>54</v>
      </c>
      <c r="D19" s="323" t="s">
        <v>58</v>
      </c>
      <c r="E19" s="323"/>
      <c r="F19" s="323"/>
      <c r="G19" s="323"/>
      <c r="H19" s="323"/>
      <c r="I19" s="159" t="b">
        <v>0</v>
      </c>
      <c r="J19" s="330"/>
    </row>
    <row r="20" spans="1:10" ht="55" customHeight="1" x14ac:dyDescent="0.2">
      <c r="A20" s="332"/>
      <c r="B20" s="338"/>
      <c r="C20" s="34" t="s">
        <v>55</v>
      </c>
      <c r="D20" s="323" t="s">
        <v>114</v>
      </c>
      <c r="E20" s="323"/>
      <c r="F20" s="323"/>
      <c r="G20" s="323"/>
      <c r="H20" s="323"/>
      <c r="I20" s="159" t="b">
        <v>0</v>
      </c>
      <c r="J20" s="330"/>
    </row>
    <row r="21" spans="1:10" ht="24" customHeight="1" x14ac:dyDescent="0.2">
      <c r="A21" s="332"/>
      <c r="B21" s="338"/>
      <c r="C21" s="34" t="s">
        <v>56</v>
      </c>
      <c r="D21" s="323" t="s">
        <v>61</v>
      </c>
      <c r="E21" s="323"/>
      <c r="F21" s="323"/>
      <c r="G21" s="323"/>
      <c r="H21" s="323"/>
      <c r="I21" s="159" t="b">
        <v>0</v>
      </c>
      <c r="J21" s="330"/>
    </row>
    <row r="22" spans="1:10" ht="32.1" customHeight="1" thickBot="1" x14ac:dyDescent="0.25">
      <c r="A22" s="333"/>
      <c r="B22" s="339"/>
      <c r="C22" s="40" t="s">
        <v>57</v>
      </c>
      <c r="D22" s="328" t="s">
        <v>62</v>
      </c>
      <c r="E22" s="328"/>
      <c r="F22" s="328"/>
      <c r="G22" s="328"/>
      <c r="H22" s="328"/>
      <c r="I22" s="160" t="b">
        <v>0</v>
      </c>
      <c r="J22" s="330"/>
    </row>
    <row r="23" spans="1:10" ht="40" customHeight="1" thickBot="1" x14ac:dyDescent="0.25">
      <c r="A23" s="334" t="s">
        <v>5</v>
      </c>
      <c r="B23" s="41" t="s">
        <v>6</v>
      </c>
      <c r="C23" s="42" t="s">
        <v>63</v>
      </c>
      <c r="D23" s="327" t="s">
        <v>64</v>
      </c>
      <c r="E23" s="327"/>
      <c r="F23" s="327"/>
      <c r="G23" s="327"/>
      <c r="H23" s="327"/>
      <c r="I23" s="157" t="b">
        <v>0</v>
      </c>
      <c r="J23" s="8">
        <f>COUNTIF(I23,TRUE)</f>
        <v>0</v>
      </c>
    </row>
    <row r="24" spans="1:10" ht="24" customHeight="1" x14ac:dyDescent="0.2">
      <c r="A24" s="335"/>
      <c r="B24" s="340" t="s">
        <v>1</v>
      </c>
      <c r="C24" s="39" t="s">
        <v>65</v>
      </c>
      <c r="D24" s="325" t="s">
        <v>71</v>
      </c>
      <c r="E24" s="325"/>
      <c r="F24" s="325"/>
      <c r="G24" s="325"/>
      <c r="H24" s="325"/>
      <c r="I24" s="158" t="b">
        <v>0</v>
      </c>
      <c r="J24" s="330">
        <f>COUNTIF(I24:I27,TRUE)</f>
        <v>0</v>
      </c>
    </row>
    <row r="25" spans="1:10" ht="32.1" customHeight="1" x14ac:dyDescent="0.2">
      <c r="A25" s="335"/>
      <c r="B25" s="341"/>
      <c r="C25" s="34" t="s">
        <v>66</v>
      </c>
      <c r="D25" s="323" t="s">
        <v>69</v>
      </c>
      <c r="E25" s="323"/>
      <c r="F25" s="323"/>
      <c r="G25" s="323"/>
      <c r="H25" s="323"/>
      <c r="I25" s="159" t="b">
        <v>0</v>
      </c>
      <c r="J25" s="330"/>
    </row>
    <row r="26" spans="1:10" ht="24" customHeight="1" x14ac:dyDescent="0.2">
      <c r="A26" s="335"/>
      <c r="B26" s="341"/>
      <c r="C26" s="34" t="s">
        <v>67</v>
      </c>
      <c r="D26" s="323" t="s">
        <v>70</v>
      </c>
      <c r="E26" s="323"/>
      <c r="F26" s="323"/>
      <c r="G26" s="323"/>
      <c r="H26" s="323"/>
      <c r="I26" s="159" t="b">
        <v>0</v>
      </c>
      <c r="J26" s="330"/>
    </row>
    <row r="27" spans="1:10" ht="53.1" customHeight="1" thickBot="1" x14ac:dyDescent="0.25">
      <c r="A27" s="335"/>
      <c r="B27" s="342"/>
      <c r="C27" s="40" t="s">
        <v>68</v>
      </c>
      <c r="D27" s="328" t="s">
        <v>115</v>
      </c>
      <c r="E27" s="328"/>
      <c r="F27" s="328"/>
      <c r="G27" s="328"/>
      <c r="H27" s="328"/>
      <c r="I27" s="160" t="b">
        <v>0</v>
      </c>
      <c r="J27" s="330"/>
    </row>
    <row r="28" spans="1:10" ht="24" customHeight="1" x14ac:dyDescent="0.2">
      <c r="A28" s="335"/>
      <c r="B28" s="337" t="s">
        <v>4</v>
      </c>
      <c r="C28" s="39" t="s">
        <v>72</v>
      </c>
      <c r="D28" s="325" t="s">
        <v>79</v>
      </c>
      <c r="E28" s="325"/>
      <c r="F28" s="325"/>
      <c r="G28" s="325"/>
      <c r="H28" s="325"/>
      <c r="I28" s="158" t="b">
        <v>0</v>
      </c>
      <c r="J28" s="330">
        <f>COUNTIF(I28:I34,TRUE)</f>
        <v>0</v>
      </c>
    </row>
    <row r="29" spans="1:10" ht="32.1" customHeight="1" x14ac:dyDescent="0.2">
      <c r="A29" s="335"/>
      <c r="B29" s="338"/>
      <c r="C29" s="34" t="s">
        <v>73</v>
      </c>
      <c r="D29" s="323" t="s">
        <v>80</v>
      </c>
      <c r="E29" s="323"/>
      <c r="F29" s="323"/>
      <c r="G29" s="323"/>
      <c r="H29" s="323"/>
      <c r="I29" s="159" t="b">
        <v>0</v>
      </c>
      <c r="J29" s="330"/>
    </row>
    <row r="30" spans="1:10" ht="24" customHeight="1" x14ac:dyDescent="0.2">
      <c r="A30" s="335"/>
      <c r="B30" s="338"/>
      <c r="C30" s="34" t="s">
        <v>74</v>
      </c>
      <c r="D30" s="323" t="s">
        <v>81</v>
      </c>
      <c r="E30" s="323"/>
      <c r="F30" s="323"/>
      <c r="G30" s="323"/>
      <c r="H30" s="323"/>
      <c r="I30" s="159" t="b">
        <v>0</v>
      </c>
      <c r="J30" s="330"/>
    </row>
    <row r="31" spans="1:10" ht="53.1" customHeight="1" x14ac:dyDescent="0.2">
      <c r="A31" s="335"/>
      <c r="B31" s="338"/>
      <c r="C31" s="34" t="s">
        <v>75</v>
      </c>
      <c r="D31" s="323" t="s">
        <v>116</v>
      </c>
      <c r="E31" s="323"/>
      <c r="F31" s="323"/>
      <c r="G31" s="323"/>
      <c r="H31" s="323"/>
      <c r="I31" s="159" t="b">
        <v>0</v>
      </c>
      <c r="J31" s="330"/>
    </row>
    <row r="32" spans="1:10" ht="24" customHeight="1" x14ac:dyDescent="0.2">
      <c r="A32" s="335"/>
      <c r="B32" s="338"/>
      <c r="C32" s="34" t="s">
        <v>76</v>
      </c>
      <c r="D32" s="323" t="s">
        <v>82</v>
      </c>
      <c r="E32" s="323"/>
      <c r="F32" s="323"/>
      <c r="G32" s="323"/>
      <c r="H32" s="323"/>
      <c r="I32" s="159" t="b">
        <v>0</v>
      </c>
      <c r="J32" s="330"/>
    </row>
    <row r="33" spans="1:10" ht="32.1" customHeight="1" x14ac:dyDescent="0.2">
      <c r="A33" s="335"/>
      <c r="B33" s="338"/>
      <c r="C33" s="34" t="s">
        <v>77</v>
      </c>
      <c r="D33" s="323" t="s">
        <v>84</v>
      </c>
      <c r="E33" s="323"/>
      <c r="F33" s="323"/>
      <c r="G33" s="323"/>
      <c r="H33" s="323"/>
      <c r="I33" s="159" t="b">
        <v>0</v>
      </c>
      <c r="J33" s="330"/>
    </row>
    <row r="34" spans="1:10" ht="32.1" customHeight="1" thickBot="1" x14ac:dyDescent="0.25">
      <c r="A34" s="336"/>
      <c r="B34" s="339"/>
      <c r="C34" s="40" t="s">
        <v>78</v>
      </c>
      <c r="D34" s="328" t="s">
        <v>83</v>
      </c>
      <c r="E34" s="328"/>
      <c r="F34" s="328"/>
      <c r="G34" s="328"/>
      <c r="H34" s="328"/>
      <c r="I34" s="160" t="b">
        <v>0</v>
      </c>
      <c r="J34" s="330"/>
    </row>
    <row r="35" spans="1:10" s="53" customFormat="1" ht="12.75" customHeight="1" x14ac:dyDescent="0.55000000000000004">
      <c r="A35" s="54"/>
      <c r="B35" s="54"/>
      <c r="C35" s="54"/>
      <c r="D35" s="54"/>
      <c r="E35" s="54"/>
      <c r="F35" s="54"/>
      <c r="G35" s="54"/>
      <c r="H35" s="54"/>
      <c r="I35" s="54"/>
      <c r="J35" s="52"/>
    </row>
    <row r="36" spans="1:10" s="13" customFormat="1" ht="20.100000000000001" hidden="1" customHeight="1" x14ac:dyDescent="0.45">
      <c r="A36" s="9"/>
      <c r="B36" s="9"/>
      <c r="D36" s="10" t="s">
        <v>8</v>
      </c>
      <c r="E36" s="11" t="s">
        <v>85</v>
      </c>
      <c r="F36" s="10"/>
      <c r="G36" s="10"/>
      <c r="I36" s="12"/>
      <c r="J36" s="49" t="str">
        <f>IF(AND(J51=" ",J7=1,J8&gt;=1),"Pathogenic (Ia)"," ")</f>
        <v xml:space="preserve"> </v>
      </c>
    </row>
    <row r="37" spans="1:10" s="13" customFormat="1" ht="20.100000000000001" hidden="1" customHeight="1" x14ac:dyDescent="0.45">
      <c r="A37" s="9"/>
      <c r="B37" s="9"/>
      <c r="D37" s="10" t="s">
        <v>13</v>
      </c>
      <c r="E37" s="11" t="s">
        <v>86</v>
      </c>
      <c r="F37" s="10"/>
      <c r="G37" s="10"/>
      <c r="I37" s="12"/>
      <c r="J37" s="49" t="str">
        <f>IF((AND(J51=" ",J36=" ",J7=1,J12&gt;=2)),"Pathogenic (Ib)"," ")</f>
        <v xml:space="preserve"> </v>
      </c>
    </row>
    <row r="38" spans="1:10" s="13" customFormat="1" ht="20.100000000000001" hidden="1" customHeight="1" x14ac:dyDescent="0.45">
      <c r="A38" s="9"/>
      <c r="B38" s="9"/>
      <c r="D38" s="10" t="s">
        <v>14</v>
      </c>
      <c r="E38" s="11" t="s">
        <v>87</v>
      </c>
      <c r="F38" s="10"/>
      <c r="G38" s="10"/>
      <c r="I38" s="12"/>
      <c r="J38" s="49" t="str">
        <f>IF((AND(J51=" ",J36=" ",J7=1,J12=1,J18=1)),"Pathogenic (Ic)"," ")</f>
        <v xml:space="preserve"> </v>
      </c>
    </row>
    <row r="39" spans="1:10" s="13" customFormat="1" ht="20.100000000000001" hidden="1" customHeight="1" x14ac:dyDescent="0.45">
      <c r="A39" s="9"/>
      <c r="B39" s="9"/>
      <c r="D39" s="10" t="s">
        <v>15</v>
      </c>
      <c r="E39" s="11" t="s">
        <v>88</v>
      </c>
      <c r="F39" s="10"/>
      <c r="G39" s="10"/>
      <c r="I39" s="12"/>
      <c r="J39" s="49" t="str">
        <f>IF((AND(J51=" ",J36=" ",J37=" ",J7=1,J18&gt;=2)),"Pathogenic (Id)"," ")</f>
        <v xml:space="preserve"> </v>
      </c>
    </row>
    <row r="40" spans="1:10" s="13" customFormat="1" ht="20.100000000000001" hidden="1" customHeight="1" x14ac:dyDescent="0.45">
      <c r="A40" s="9"/>
      <c r="B40" s="9"/>
      <c r="D40" s="10" t="s">
        <v>16</v>
      </c>
      <c r="E40" s="14" t="s">
        <v>7</v>
      </c>
      <c r="F40" s="10"/>
      <c r="G40" s="10"/>
      <c r="I40" s="12"/>
      <c r="J40" s="49" t="str">
        <f>IF(AND(J51=" ",J36=" ",J8&gt;=2),"Pathogenic (II)"," ")</f>
        <v xml:space="preserve"> </v>
      </c>
    </row>
    <row r="41" spans="1:10" s="13" customFormat="1" ht="20.100000000000001" hidden="1" customHeight="1" x14ac:dyDescent="0.45">
      <c r="A41" s="9"/>
      <c r="B41" s="9"/>
      <c r="D41" s="10" t="s">
        <v>17</v>
      </c>
      <c r="E41" s="11" t="s">
        <v>89</v>
      </c>
      <c r="F41" s="10"/>
      <c r="G41" s="10"/>
      <c r="I41" s="12"/>
      <c r="J41" s="49" t="str">
        <f>IF((AND(J51=" ",J36=" ",J8=1,J12&gt;=3)),"Pathogenic (IIIa)"," ")</f>
        <v xml:space="preserve"> </v>
      </c>
    </row>
    <row r="42" spans="1:10" s="13" customFormat="1" ht="20.100000000000001" hidden="1" customHeight="1" x14ac:dyDescent="0.45">
      <c r="A42" s="9"/>
      <c r="B42" s="9"/>
      <c r="D42" s="10" t="s">
        <v>18</v>
      </c>
      <c r="E42" s="11" t="s">
        <v>90</v>
      </c>
      <c r="F42" s="10"/>
      <c r="G42" s="10"/>
      <c r="I42" s="12"/>
      <c r="J42" s="49" t="str">
        <f>IF((AND(J51=" ",J36=" ",J41=" ",J8=1,J12=2,J18&gt;=2)),"Pathogenic (IIIb)"," ")</f>
        <v xml:space="preserve"> </v>
      </c>
    </row>
    <row r="43" spans="1:10" s="13" customFormat="1" ht="20.100000000000001" hidden="1" customHeight="1" x14ac:dyDescent="0.45">
      <c r="A43" s="9"/>
      <c r="B43" s="9"/>
      <c r="D43" s="10" t="s">
        <v>19</v>
      </c>
      <c r="E43" s="11" t="s">
        <v>91</v>
      </c>
      <c r="F43" s="10"/>
      <c r="G43" s="10"/>
      <c r="I43" s="12"/>
      <c r="J43" s="49" t="str">
        <f>IF((AND(J51=" ",J36=" ",J8=1,J12=1,J18&gt;=4)),"Pathogenic (IIIc)"," ")</f>
        <v xml:space="preserve"> </v>
      </c>
    </row>
    <row r="44" spans="1:10" s="13" customFormat="1" ht="20.100000000000001" hidden="1" customHeight="1" x14ac:dyDescent="0.45">
      <c r="A44" s="9"/>
      <c r="B44" s="9"/>
      <c r="D44" s="15" t="s">
        <v>9</v>
      </c>
      <c r="E44" s="14" t="s">
        <v>23</v>
      </c>
      <c r="F44" s="15"/>
      <c r="G44" s="15"/>
      <c r="I44" s="12"/>
      <c r="J44" s="49" t="str">
        <f>IF((AND(J51=" ",J36=" ",J38=" ",J39=" ",J7=1,J12=1)),"Likely Pathogenic (I)"," ")</f>
        <v xml:space="preserve"> </v>
      </c>
    </row>
    <row r="45" spans="1:10" s="13" customFormat="1" ht="20.100000000000001" hidden="1" customHeight="1" x14ac:dyDescent="0.45">
      <c r="A45" s="9"/>
      <c r="B45" s="9"/>
      <c r="D45" s="15" t="s">
        <v>20</v>
      </c>
      <c r="E45" s="14" t="s">
        <v>24</v>
      </c>
      <c r="F45" s="15"/>
      <c r="G45" s="15"/>
      <c r="I45" s="12"/>
      <c r="J45" s="49" t="str">
        <f>IF((AND(J51=" ",J36=" ",J38=" ",J39=" ",J8=1,J12&gt;0,J12&lt;=2)),"Likely Pathogenic (II)"," ")</f>
        <v xml:space="preserve"> </v>
      </c>
    </row>
    <row r="46" spans="1:10" s="13" customFormat="1" ht="20.100000000000001" hidden="1" customHeight="1" x14ac:dyDescent="0.45">
      <c r="A46" s="9"/>
      <c r="B46" s="9"/>
      <c r="D46" s="15" t="s">
        <v>11</v>
      </c>
      <c r="E46" s="14" t="s">
        <v>25</v>
      </c>
      <c r="F46" s="15"/>
      <c r="G46" s="15"/>
      <c r="I46" s="12"/>
      <c r="J46" s="49" t="str">
        <f>IF((AND(J51=" ",J36=" ",J38=" ",J39=" ",J42=" ",J45=" ",J8=1,J18&gt;=2)),"Likely Pathogenic (III)"," ")</f>
        <v xml:space="preserve"> </v>
      </c>
    </row>
    <row r="47" spans="1:10" s="13" customFormat="1" ht="20.100000000000001" hidden="1" customHeight="1" x14ac:dyDescent="0.45">
      <c r="A47" s="9"/>
      <c r="B47" s="9"/>
      <c r="D47" s="15" t="s">
        <v>21</v>
      </c>
      <c r="E47" s="14" t="s">
        <v>26</v>
      </c>
      <c r="F47" s="15"/>
      <c r="G47" s="15"/>
      <c r="I47" s="12"/>
      <c r="J47" s="49" t="str">
        <f>IF((AND(J51=" ",J36=" ",J37=" ",J38=" ",J39=" ",J12&gt;=3)),"Likely Pathogenic (IV)"," ")</f>
        <v xml:space="preserve"> </v>
      </c>
    </row>
    <row r="48" spans="1:10" s="13" customFormat="1" ht="20.100000000000001" hidden="1" customHeight="1" x14ac:dyDescent="0.45">
      <c r="A48" s="9"/>
      <c r="B48" s="9"/>
      <c r="D48" s="15" t="s">
        <v>12</v>
      </c>
      <c r="E48" s="14" t="s">
        <v>27</v>
      </c>
      <c r="F48" s="15"/>
      <c r="G48" s="15"/>
      <c r="I48" s="12"/>
      <c r="J48" s="49" t="str">
        <f>IF((AND(J51=" ",J36=" ",J37=" ",J38=" ",J39=" ",J40=" ",J12=2,J18&gt;=2)),"Likely Pathogenic (V)"," ")</f>
        <v xml:space="preserve"> </v>
      </c>
    </row>
    <row r="49" spans="1:10" s="13" customFormat="1" ht="20.100000000000001" hidden="1" customHeight="1" x14ac:dyDescent="0.45">
      <c r="A49" s="9"/>
      <c r="B49" s="9"/>
      <c r="D49" s="15" t="s">
        <v>22</v>
      </c>
      <c r="E49" s="14" t="s">
        <v>10</v>
      </c>
      <c r="F49" s="15"/>
      <c r="G49" s="15"/>
      <c r="I49" s="12"/>
      <c r="J49" s="49" t="str">
        <f>IF((AND(J51=" ",J36=" ",J38=" ",J39=" ",J48=" ",J12=1,J18&gt;=4)),"Likely Pathogenic (VI)"," ")</f>
        <v xml:space="preserve"> </v>
      </c>
    </row>
    <row r="50" spans="1:10" s="13" customFormat="1" ht="20.100000000000001" hidden="1" customHeight="1" x14ac:dyDescent="0.45">
      <c r="A50" s="9"/>
      <c r="B50" s="9"/>
      <c r="D50" s="15" t="s">
        <v>38</v>
      </c>
      <c r="E50" s="14" t="s">
        <v>37</v>
      </c>
      <c r="F50" s="15"/>
      <c r="G50" s="15"/>
      <c r="I50" s="12"/>
      <c r="J50" s="49" t="str">
        <f>IF((AND(J36=" ",J37=" ",J38=" ",J39=" ",J40=" ",J41=" ",J42=" ",J43=" ",J44=" ",J45=" ",J46=" ",J47=" ",J48=" ",J49=" ",J51=" ",J52= " ",J53=" ",J54=" ",J55=" ")),"VUS - Insufficient evidence"," ")</f>
        <v>VUS - Insufficient evidence</v>
      </c>
    </row>
    <row r="51" spans="1:10" s="13" customFormat="1" ht="20.100000000000001" hidden="1" customHeight="1" x14ac:dyDescent="0.45">
      <c r="A51" s="9"/>
      <c r="B51" s="9"/>
      <c r="D51" s="15" t="s">
        <v>39</v>
      </c>
      <c r="E51" s="14" t="s">
        <v>36</v>
      </c>
      <c r="F51" s="15"/>
      <c r="G51" s="15"/>
      <c r="I51" s="12"/>
      <c r="J51" s="49" t="str">
        <f>IF(AND(OR(J7&gt;=1,J8&gt;=1,J12&gt;=1,J18&gt;=1),OR(J23&gt;=1,J24&gt;=1,J28&gt;=1)),"VUS - Conflicting evidence"," ")</f>
        <v xml:space="preserve"> </v>
      </c>
    </row>
    <row r="52" spans="1:10" s="13" customFormat="1" ht="20.100000000000001" hidden="1" customHeight="1" x14ac:dyDescent="0.45">
      <c r="A52" s="9"/>
      <c r="B52" s="9"/>
      <c r="D52" s="10" t="s">
        <v>34</v>
      </c>
      <c r="E52" s="14" t="s">
        <v>33</v>
      </c>
      <c r="F52" s="10"/>
      <c r="G52" s="10"/>
      <c r="I52" s="12"/>
      <c r="J52" s="49" t="str">
        <f>IF(AND(J51=" ",J54=" ",J24=1,J28&gt;=1),"Likely benign (I)"," ")</f>
        <v xml:space="preserve"> </v>
      </c>
    </row>
    <row r="53" spans="1:10" s="13" customFormat="1" ht="20.100000000000001" hidden="1" customHeight="1" x14ac:dyDescent="0.45">
      <c r="A53" s="9"/>
      <c r="B53" s="9"/>
      <c r="D53" s="10" t="s">
        <v>35</v>
      </c>
      <c r="E53" s="14" t="s">
        <v>32</v>
      </c>
      <c r="F53" s="10"/>
      <c r="G53" s="10"/>
      <c r="I53" s="12"/>
      <c r="J53" s="49" t="str">
        <f>IF(AND(J51=" ",J54=" ",J55=" ",J52=" ",J28&gt;=2),"Likely benign (II)"," ")</f>
        <v xml:space="preserve"> </v>
      </c>
    </row>
    <row r="54" spans="1:10" s="13" customFormat="1" ht="20.100000000000001" hidden="1" customHeight="1" x14ac:dyDescent="0.45">
      <c r="A54" s="9"/>
      <c r="B54" s="9"/>
      <c r="D54" s="10" t="s">
        <v>30</v>
      </c>
      <c r="E54" s="14" t="s">
        <v>29</v>
      </c>
      <c r="F54" s="10"/>
      <c r="G54" s="10"/>
      <c r="I54" s="12"/>
      <c r="J54" s="49" t="str">
        <f>IF(AND(J51=" ",J23=1),"Benign (I)"," ")</f>
        <v xml:space="preserve"> </v>
      </c>
    </row>
    <row r="55" spans="1:10" s="13" customFormat="1" ht="20.100000000000001" hidden="1" customHeight="1" x14ac:dyDescent="0.45">
      <c r="A55" s="9"/>
      <c r="B55" s="9"/>
      <c r="D55" s="10" t="s">
        <v>31</v>
      </c>
      <c r="E55" s="14" t="s">
        <v>28</v>
      </c>
      <c r="F55" s="10"/>
      <c r="G55" s="10"/>
      <c r="I55" s="12"/>
      <c r="J55" s="49" t="str">
        <f>IF(AND(J51=" ",J52=" ",J54=" ",J24&gt;=2),"Benign (II)"," ")</f>
        <v xml:space="preserve"> </v>
      </c>
    </row>
    <row r="56" spans="1:10" s="46" customFormat="1" x14ac:dyDescent="0.45">
      <c r="A56" s="22"/>
      <c r="B56" s="22"/>
      <c r="C56" s="25"/>
      <c r="D56" s="25"/>
      <c r="E56" s="25"/>
      <c r="F56" s="25"/>
      <c r="G56" s="25"/>
      <c r="H56" s="22"/>
      <c r="I56" s="28"/>
      <c r="J56" s="45"/>
    </row>
  </sheetData>
  <sheetProtection algorithmName="SHA-512" hashValue="pjlRO4uwyC5JGDW9S+gVDHHSu3MefH3n5dr/eQKwvHRI5rZ18EY/6vV0q6piwmonl4PfZ2kGCzrnLRbr3U9pow==" saltValue="RVo8OcA4kyNAWmj9V+4mgQ==" spinCount="100000" sheet="1" objects="1" scenarios="1" selectLockedCells="1"/>
  <mergeCells count="45">
    <mergeCell ref="J28:J34"/>
    <mergeCell ref="A7:A22"/>
    <mergeCell ref="A23:A34"/>
    <mergeCell ref="B8:B11"/>
    <mergeCell ref="B12:B17"/>
    <mergeCell ref="B18:B22"/>
    <mergeCell ref="B24:B27"/>
    <mergeCell ref="B28:B34"/>
    <mergeCell ref="J8:J11"/>
    <mergeCell ref="J12:J17"/>
    <mergeCell ref="J18:J22"/>
    <mergeCell ref="J24:J27"/>
    <mergeCell ref="D30:H30"/>
    <mergeCell ref="D29:H29"/>
    <mergeCell ref="D34:H34"/>
    <mergeCell ref="D33:H33"/>
    <mergeCell ref="D32:H32"/>
    <mergeCell ref="D31:H31"/>
    <mergeCell ref="D28:H28"/>
    <mergeCell ref="D27:H27"/>
    <mergeCell ref="D26:H26"/>
    <mergeCell ref="D25:H25"/>
    <mergeCell ref="D24:H24"/>
    <mergeCell ref="D23:H23"/>
    <mergeCell ref="D22:H22"/>
    <mergeCell ref="D21:H21"/>
    <mergeCell ref="D20:H20"/>
    <mergeCell ref="D19:H19"/>
    <mergeCell ref="D18:H18"/>
    <mergeCell ref="D17:H17"/>
    <mergeCell ref="D16:H16"/>
    <mergeCell ref="D15:H15"/>
    <mergeCell ref="D14:H14"/>
    <mergeCell ref="B2:D2"/>
    <mergeCell ref="D8:H8"/>
    <mergeCell ref="D6:H6"/>
    <mergeCell ref="D7:H7"/>
    <mergeCell ref="D13:H13"/>
    <mergeCell ref="D12:H12"/>
    <mergeCell ref="D11:H11"/>
    <mergeCell ref="D10:H10"/>
    <mergeCell ref="D9:H9"/>
    <mergeCell ref="B4:D4"/>
    <mergeCell ref="H2:I2"/>
    <mergeCell ref="B6:C6"/>
  </mergeCells>
  <conditionalFormatting sqref="H5 H2">
    <cfRule type="containsText" dxfId="8" priority="10" operator="containsText" text="VUS">
      <formula>NOT(ISERROR(SEARCH("VUS",H2)))</formula>
    </cfRule>
    <cfRule type="containsText" dxfId="7" priority="11" operator="containsText" text="LIKELY PATHOGENIC">
      <formula>NOT(ISERROR(SEARCH("LIKELY PATHOGENIC",H2)))</formula>
    </cfRule>
    <cfRule type="containsText" dxfId="6" priority="12" operator="containsText" text="PATHOGENIC">
      <formula>NOT(ISERROR(SEARCH("PATHOGENIC",H2)))</formula>
    </cfRule>
    <cfRule type="containsText" dxfId="5" priority="13" operator="containsText" text="LIKELY BENIGN">
      <formula>NOT(ISERROR(SEARCH("LIKELY BENIGN",H2)))</formula>
    </cfRule>
    <cfRule type="containsText" dxfId="4" priority="14" operator="containsText" text="BENIGN">
      <formula>NOT(ISERROR(SEARCH("BENIGN",H2)))</formula>
    </cfRule>
  </conditionalFormatting>
  <conditionalFormatting sqref="E4">
    <cfRule type="containsText" dxfId="3" priority="8" operator="containsText" text="Conflicting evidence">
      <formula>NOT(ISERROR(SEARCH("Conflicting evidence",E4)))</formula>
    </cfRule>
    <cfRule type="containsText" dxfId="2" priority="9" operator="containsText" text="Insufficient evidence">
      <formula>NOT(ISERROR(SEARCH("Insufficient evidence",E4)))</formula>
    </cfRule>
  </conditionalFormatting>
  <conditionalFormatting sqref="E2">
    <cfRule type="containsText" dxfId="1" priority="1" operator="containsText" text="Conflicting evidence">
      <formula>NOT(ISERROR(SEARCH("Conflicting evidence",E2)))</formula>
    </cfRule>
    <cfRule type="containsText" dxfId="0" priority="2" operator="containsText" text="Insufficient evidence">
      <formula>NOT(ISERROR(SEARCH("Insufficient evidence",E2)))</formula>
    </cfRule>
  </conditionalFormatting>
  <printOptions horizontalCentered="1"/>
  <pageMargins left="0.25" right="0.25" top="0.33" bottom="0.35" header="0.3" footer="0.25"/>
  <pageSetup paperSize="9" scale="71" orientation="portrait" r:id="rId1"/>
  <headerFooter>
    <oddFooter>&amp;L&amp;"Verdana,Italic"&amp;8        adapted from Richards, et al. 2015 Standards and guidelines for the interpretation of sequence variants.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locked="0" defaultSize="0" autoFill="0" autoLine="0" autoPict="0">
                <anchor moveWithCells="1">
                  <from>
                    <xdr:col>8</xdr:col>
                    <xdr:colOff>259080</xdr:colOff>
                    <xdr:row>6</xdr:row>
                    <xdr:rowOff>411480</xdr:rowOff>
                  </from>
                  <to>
                    <xdr:col>8</xdr:col>
                    <xdr:colOff>601980</xdr:colOff>
                    <xdr:row>6</xdr:row>
                    <xdr:rowOff>647700</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8</xdr:col>
                    <xdr:colOff>259080</xdr:colOff>
                    <xdr:row>7</xdr:row>
                    <xdr:rowOff>133350</xdr:rowOff>
                  </from>
                  <to>
                    <xdr:col>8</xdr:col>
                    <xdr:colOff>601980</xdr:colOff>
                    <xdr:row>7</xdr:row>
                    <xdr:rowOff>361950</xdr:rowOff>
                  </to>
                </anchor>
              </controlPr>
            </control>
          </mc:Choice>
        </mc:AlternateContent>
        <mc:AlternateContent xmlns:mc="http://schemas.openxmlformats.org/markup-compatibility/2006">
          <mc:Choice Requires="x14">
            <control shapeId="1028" r:id="rId6" name="Check Box 4">
              <controlPr defaultSize="0" autoFill="0" autoLine="0" autoPict="0">
                <anchor moveWithCells="1">
                  <from>
                    <xdr:col>8</xdr:col>
                    <xdr:colOff>259080</xdr:colOff>
                    <xdr:row>8</xdr:row>
                    <xdr:rowOff>125730</xdr:rowOff>
                  </from>
                  <to>
                    <xdr:col>8</xdr:col>
                    <xdr:colOff>601980</xdr:colOff>
                    <xdr:row>8</xdr:row>
                    <xdr:rowOff>361950</xdr:rowOff>
                  </to>
                </anchor>
              </controlPr>
            </control>
          </mc:Choice>
        </mc:AlternateContent>
        <mc:AlternateContent xmlns:mc="http://schemas.openxmlformats.org/markup-compatibility/2006">
          <mc:Choice Requires="x14">
            <control shapeId="1029" r:id="rId7" name="Check Box 5">
              <controlPr defaultSize="0" autoFill="0" autoLine="0" autoPict="0">
                <anchor moveWithCells="1">
                  <from>
                    <xdr:col>8</xdr:col>
                    <xdr:colOff>259080</xdr:colOff>
                    <xdr:row>9</xdr:row>
                    <xdr:rowOff>133350</xdr:rowOff>
                  </from>
                  <to>
                    <xdr:col>8</xdr:col>
                    <xdr:colOff>601980</xdr:colOff>
                    <xdr:row>9</xdr:row>
                    <xdr:rowOff>361950</xdr:rowOff>
                  </to>
                </anchor>
              </controlPr>
            </control>
          </mc:Choice>
        </mc:AlternateContent>
        <mc:AlternateContent xmlns:mc="http://schemas.openxmlformats.org/markup-compatibility/2006">
          <mc:Choice Requires="x14">
            <control shapeId="1030" r:id="rId8" name="Check Box 6">
              <controlPr defaultSize="0" autoFill="0" autoLine="0" autoPict="0">
                <anchor moveWithCells="1">
                  <from>
                    <xdr:col>8</xdr:col>
                    <xdr:colOff>259080</xdr:colOff>
                    <xdr:row>10</xdr:row>
                    <xdr:rowOff>381000</xdr:rowOff>
                  </from>
                  <to>
                    <xdr:col>8</xdr:col>
                    <xdr:colOff>601980</xdr:colOff>
                    <xdr:row>10</xdr:row>
                    <xdr:rowOff>609600</xdr:rowOff>
                  </to>
                </anchor>
              </controlPr>
            </control>
          </mc:Choice>
        </mc:AlternateContent>
        <mc:AlternateContent xmlns:mc="http://schemas.openxmlformats.org/markup-compatibility/2006">
          <mc:Choice Requires="x14">
            <control shapeId="1031" r:id="rId9" name="Check Box 7">
              <controlPr defaultSize="0" autoFill="0" autoLine="0" autoPict="0">
                <anchor moveWithCells="1">
                  <from>
                    <xdr:col>8</xdr:col>
                    <xdr:colOff>259080</xdr:colOff>
                    <xdr:row>11</xdr:row>
                    <xdr:rowOff>49530</xdr:rowOff>
                  </from>
                  <to>
                    <xdr:col>8</xdr:col>
                    <xdr:colOff>601980</xdr:colOff>
                    <xdr:row>11</xdr:row>
                    <xdr:rowOff>285750</xdr:rowOff>
                  </to>
                </anchor>
              </controlPr>
            </control>
          </mc:Choice>
        </mc:AlternateContent>
        <mc:AlternateContent xmlns:mc="http://schemas.openxmlformats.org/markup-compatibility/2006">
          <mc:Choice Requires="x14">
            <control shapeId="1032" r:id="rId10" name="Check Box 8">
              <controlPr defaultSize="0" autoFill="0" autoLine="0" autoPict="0">
                <anchor moveWithCells="1">
                  <from>
                    <xdr:col>8</xdr:col>
                    <xdr:colOff>259080</xdr:colOff>
                    <xdr:row>12</xdr:row>
                    <xdr:rowOff>133350</xdr:rowOff>
                  </from>
                  <to>
                    <xdr:col>8</xdr:col>
                    <xdr:colOff>601980</xdr:colOff>
                    <xdr:row>12</xdr:row>
                    <xdr:rowOff>361950</xdr:rowOff>
                  </to>
                </anchor>
              </controlPr>
            </control>
          </mc:Choice>
        </mc:AlternateContent>
        <mc:AlternateContent xmlns:mc="http://schemas.openxmlformats.org/markup-compatibility/2006">
          <mc:Choice Requires="x14">
            <control shapeId="1033" r:id="rId11" name="Check Box 9">
              <controlPr defaultSize="0" autoFill="0" autoLine="0" autoPict="0">
                <anchor moveWithCells="1">
                  <from>
                    <xdr:col>8</xdr:col>
                    <xdr:colOff>259080</xdr:colOff>
                    <xdr:row>13</xdr:row>
                    <xdr:rowOff>95250</xdr:rowOff>
                  </from>
                  <to>
                    <xdr:col>8</xdr:col>
                    <xdr:colOff>601980</xdr:colOff>
                    <xdr:row>13</xdr:row>
                    <xdr:rowOff>323850</xdr:rowOff>
                  </to>
                </anchor>
              </controlPr>
            </control>
          </mc:Choice>
        </mc:AlternateContent>
        <mc:AlternateContent xmlns:mc="http://schemas.openxmlformats.org/markup-compatibility/2006">
          <mc:Choice Requires="x14">
            <control shapeId="1034" r:id="rId12" name="Check Box 10">
              <controlPr defaultSize="0" autoFill="0" autoLine="0" autoPict="0">
                <anchor moveWithCells="1">
                  <from>
                    <xdr:col>8</xdr:col>
                    <xdr:colOff>259080</xdr:colOff>
                    <xdr:row>14</xdr:row>
                    <xdr:rowOff>49530</xdr:rowOff>
                  </from>
                  <to>
                    <xdr:col>8</xdr:col>
                    <xdr:colOff>601980</xdr:colOff>
                    <xdr:row>14</xdr:row>
                    <xdr:rowOff>278130</xdr:rowOff>
                  </to>
                </anchor>
              </controlPr>
            </control>
          </mc:Choice>
        </mc:AlternateContent>
        <mc:AlternateContent xmlns:mc="http://schemas.openxmlformats.org/markup-compatibility/2006">
          <mc:Choice Requires="x14">
            <control shapeId="1035" r:id="rId13" name="Check Box 11">
              <controlPr defaultSize="0" autoFill="0" autoLine="0" autoPict="0">
                <anchor moveWithCells="1">
                  <from>
                    <xdr:col>8</xdr:col>
                    <xdr:colOff>259080</xdr:colOff>
                    <xdr:row>15</xdr:row>
                    <xdr:rowOff>201930</xdr:rowOff>
                  </from>
                  <to>
                    <xdr:col>8</xdr:col>
                    <xdr:colOff>601980</xdr:colOff>
                    <xdr:row>15</xdr:row>
                    <xdr:rowOff>430530</xdr:rowOff>
                  </to>
                </anchor>
              </controlPr>
            </control>
          </mc:Choice>
        </mc:AlternateContent>
        <mc:AlternateContent xmlns:mc="http://schemas.openxmlformats.org/markup-compatibility/2006">
          <mc:Choice Requires="x14">
            <control shapeId="1036" r:id="rId14" name="Check Box 12">
              <controlPr defaultSize="0" autoFill="0" autoLine="0" autoPict="0">
                <anchor moveWithCells="1">
                  <from>
                    <xdr:col>8</xdr:col>
                    <xdr:colOff>259080</xdr:colOff>
                    <xdr:row>16</xdr:row>
                    <xdr:rowOff>38100</xdr:rowOff>
                  </from>
                  <to>
                    <xdr:col>8</xdr:col>
                    <xdr:colOff>601980</xdr:colOff>
                    <xdr:row>16</xdr:row>
                    <xdr:rowOff>266700</xdr:rowOff>
                  </to>
                </anchor>
              </controlPr>
            </control>
          </mc:Choice>
        </mc:AlternateContent>
        <mc:AlternateContent xmlns:mc="http://schemas.openxmlformats.org/markup-compatibility/2006">
          <mc:Choice Requires="x14">
            <control shapeId="1037" r:id="rId15" name="Check Box 13">
              <controlPr defaultSize="0" autoFill="0" autoLine="0" autoPict="0">
                <anchor moveWithCells="1">
                  <from>
                    <xdr:col>8</xdr:col>
                    <xdr:colOff>259080</xdr:colOff>
                    <xdr:row>17</xdr:row>
                    <xdr:rowOff>76200</xdr:rowOff>
                  </from>
                  <to>
                    <xdr:col>8</xdr:col>
                    <xdr:colOff>601980</xdr:colOff>
                    <xdr:row>17</xdr:row>
                    <xdr:rowOff>316230</xdr:rowOff>
                  </to>
                </anchor>
              </controlPr>
            </control>
          </mc:Choice>
        </mc:AlternateContent>
        <mc:AlternateContent xmlns:mc="http://schemas.openxmlformats.org/markup-compatibility/2006">
          <mc:Choice Requires="x14">
            <control shapeId="1039" r:id="rId16" name="Check Box 15">
              <controlPr defaultSize="0" autoFill="0" autoLine="0" autoPict="0">
                <anchor moveWithCells="1">
                  <from>
                    <xdr:col>8</xdr:col>
                    <xdr:colOff>259080</xdr:colOff>
                    <xdr:row>18</xdr:row>
                    <xdr:rowOff>76200</xdr:rowOff>
                  </from>
                  <to>
                    <xdr:col>8</xdr:col>
                    <xdr:colOff>601980</xdr:colOff>
                    <xdr:row>18</xdr:row>
                    <xdr:rowOff>323850</xdr:rowOff>
                  </to>
                </anchor>
              </controlPr>
            </control>
          </mc:Choice>
        </mc:AlternateContent>
        <mc:AlternateContent xmlns:mc="http://schemas.openxmlformats.org/markup-compatibility/2006">
          <mc:Choice Requires="x14">
            <control shapeId="1043" r:id="rId17" name="Check Box 19">
              <controlPr defaultSize="0" autoFill="0" autoLine="0" autoPict="0">
                <anchor moveWithCells="1">
                  <from>
                    <xdr:col>8</xdr:col>
                    <xdr:colOff>259080</xdr:colOff>
                    <xdr:row>19</xdr:row>
                    <xdr:rowOff>228600</xdr:rowOff>
                  </from>
                  <to>
                    <xdr:col>8</xdr:col>
                    <xdr:colOff>601980</xdr:colOff>
                    <xdr:row>19</xdr:row>
                    <xdr:rowOff>457200</xdr:rowOff>
                  </to>
                </anchor>
              </controlPr>
            </control>
          </mc:Choice>
        </mc:AlternateContent>
        <mc:AlternateContent xmlns:mc="http://schemas.openxmlformats.org/markup-compatibility/2006">
          <mc:Choice Requires="x14">
            <control shapeId="1045" r:id="rId18" name="Check Box 21">
              <controlPr defaultSize="0" autoFill="0" autoLine="0" autoPict="0">
                <anchor moveWithCells="1">
                  <from>
                    <xdr:col>8</xdr:col>
                    <xdr:colOff>259080</xdr:colOff>
                    <xdr:row>20</xdr:row>
                    <xdr:rowOff>38100</xdr:rowOff>
                  </from>
                  <to>
                    <xdr:col>8</xdr:col>
                    <xdr:colOff>601980</xdr:colOff>
                    <xdr:row>20</xdr:row>
                    <xdr:rowOff>285750</xdr:rowOff>
                  </to>
                </anchor>
              </controlPr>
            </control>
          </mc:Choice>
        </mc:AlternateContent>
        <mc:AlternateContent xmlns:mc="http://schemas.openxmlformats.org/markup-compatibility/2006">
          <mc:Choice Requires="x14">
            <control shapeId="1046" r:id="rId19" name="Check Box 22">
              <controlPr defaultSize="0" autoFill="0" autoLine="0" autoPict="0">
                <anchor moveWithCells="1">
                  <from>
                    <xdr:col>8</xdr:col>
                    <xdr:colOff>259080</xdr:colOff>
                    <xdr:row>21</xdr:row>
                    <xdr:rowOff>68580</xdr:rowOff>
                  </from>
                  <to>
                    <xdr:col>8</xdr:col>
                    <xdr:colOff>601980</xdr:colOff>
                    <xdr:row>21</xdr:row>
                    <xdr:rowOff>316230</xdr:rowOff>
                  </to>
                </anchor>
              </controlPr>
            </control>
          </mc:Choice>
        </mc:AlternateContent>
        <mc:AlternateContent xmlns:mc="http://schemas.openxmlformats.org/markup-compatibility/2006">
          <mc:Choice Requires="x14">
            <control shapeId="1047" r:id="rId20" name="Check Box 23">
              <controlPr defaultSize="0" autoFill="0" autoLine="0" autoPict="0">
                <anchor moveWithCells="1">
                  <from>
                    <xdr:col>8</xdr:col>
                    <xdr:colOff>259080</xdr:colOff>
                    <xdr:row>22</xdr:row>
                    <xdr:rowOff>182880</xdr:rowOff>
                  </from>
                  <to>
                    <xdr:col>8</xdr:col>
                    <xdr:colOff>601980</xdr:colOff>
                    <xdr:row>22</xdr:row>
                    <xdr:rowOff>419100</xdr:rowOff>
                  </to>
                </anchor>
              </controlPr>
            </control>
          </mc:Choice>
        </mc:AlternateContent>
        <mc:AlternateContent xmlns:mc="http://schemas.openxmlformats.org/markup-compatibility/2006">
          <mc:Choice Requires="x14">
            <control shapeId="1049" r:id="rId21" name="Check Box 25">
              <controlPr defaultSize="0" autoFill="0" autoLine="0" autoPict="0">
                <anchor moveWithCells="1">
                  <from>
                    <xdr:col>8</xdr:col>
                    <xdr:colOff>259080</xdr:colOff>
                    <xdr:row>23</xdr:row>
                    <xdr:rowOff>38100</xdr:rowOff>
                  </from>
                  <to>
                    <xdr:col>8</xdr:col>
                    <xdr:colOff>601980</xdr:colOff>
                    <xdr:row>23</xdr:row>
                    <xdr:rowOff>278130</xdr:rowOff>
                  </to>
                </anchor>
              </controlPr>
            </control>
          </mc:Choice>
        </mc:AlternateContent>
        <mc:AlternateContent xmlns:mc="http://schemas.openxmlformats.org/markup-compatibility/2006">
          <mc:Choice Requires="x14">
            <control shapeId="1050" r:id="rId22" name="Check Box 26">
              <controlPr defaultSize="0" autoFill="0" autoLine="0" autoPict="0">
                <anchor moveWithCells="1">
                  <from>
                    <xdr:col>8</xdr:col>
                    <xdr:colOff>259080</xdr:colOff>
                    <xdr:row>24</xdr:row>
                    <xdr:rowOff>68580</xdr:rowOff>
                  </from>
                  <to>
                    <xdr:col>8</xdr:col>
                    <xdr:colOff>601980</xdr:colOff>
                    <xdr:row>24</xdr:row>
                    <xdr:rowOff>316230</xdr:rowOff>
                  </to>
                </anchor>
              </controlPr>
            </control>
          </mc:Choice>
        </mc:AlternateContent>
        <mc:AlternateContent xmlns:mc="http://schemas.openxmlformats.org/markup-compatibility/2006">
          <mc:Choice Requires="x14">
            <control shapeId="1051" r:id="rId23" name="Check Box 27">
              <controlPr defaultSize="0" autoFill="0" autoLine="0" autoPict="0">
                <anchor moveWithCells="1">
                  <from>
                    <xdr:col>8</xdr:col>
                    <xdr:colOff>259080</xdr:colOff>
                    <xdr:row>25</xdr:row>
                    <xdr:rowOff>38100</xdr:rowOff>
                  </from>
                  <to>
                    <xdr:col>8</xdr:col>
                    <xdr:colOff>601980</xdr:colOff>
                    <xdr:row>25</xdr:row>
                    <xdr:rowOff>266700</xdr:rowOff>
                  </to>
                </anchor>
              </controlPr>
            </control>
          </mc:Choice>
        </mc:AlternateContent>
        <mc:AlternateContent xmlns:mc="http://schemas.openxmlformats.org/markup-compatibility/2006">
          <mc:Choice Requires="x14">
            <control shapeId="1052" r:id="rId24" name="Check Box 28">
              <controlPr defaultSize="0" autoFill="0" autoLine="0" autoPict="0">
                <anchor moveWithCells="1">
                  <from>
                    <xdr:col>8</xdr:col>
                    <xdr:colOff>259080</xdr:colOff>
                    <xdr:row>26</xdr:row>
                    <xdr:rowOff>209550</xdr:rowOff>
                  </from>
                  <to>
                    <xdr:col>8</xdr:col>
                    <xdr:colOff>601980</xdr:colOff>
                    <xdr:row>26</xdr:row>
                    <xdr:rowOff>438150</xdr:rowOff>
                  </to>
                </anchor>
              </controlPr>
            </control>
          </mc:Choice>
        </mc:AlternateContent>
        <mc:AlternateContent xmlns:mc="http://schemas.openxmlformats.org/markup-compatibility/2006">
          <mc:Choice Requires="x14">
            <control shapeId="1053" r:id="rId25" name="Check Box 29">
              <controlPr defaultSize="0" autoFill="0" autoLine="0" autoPict="0">
                <anchor moveWithCells="1">
                  <from>
                    <xdr:col>8</xdr:col>
                    <xdr:colOff>259080</xdr:colOff>
                    <xdr:row>27</xdr:row>
                    <xdr:rowOff>38100</xdr:rowOff>
                  </from>
                  <to>
                    <xdr:col>8</xdr:col>
                    <xdr:colOff>601980</xdr:colOff>
                    <xdr:row>27</xdr:row>
                    <xdr:rowOff>278130</xdr:rowOff>
                  </to>
                </anchor>
              </controlPr>
            </control>
          </mc:Choice>
        </mc:AlternateContent>
        <mc:AlternateContent xmlns:mc="http://schemas.openxmlformats.org/markup-compatibility/2006">
          <mc:Choice Requires="x14">
            <control shapeId="1054" r:id="rId26" name="Check Box 30">
              <controlPr defaultSize="0" autoFill="0" autoLine="0" autoPict="0">
                <anchor moveWithCells="1">
                  <from>
                    <xdr:col>8</xdr:col>
                    <xdr:colOff>259080</xdr:colOff>
                    <xdr:row>28</xdr:row>
                    <xdr:rowOff>30480</xdr:rowOff>
                  </from>
                  <to>
                    <xdr:col>8</xdr:col>
                    <xdr:colOff>601980</xdr:colOff>
                    <xdr:row>28</xdr:row>
                    <xdr:rowOff>278130</xdr:rowOff>
                  </to>
                </anchor>
              </controlPr>
            </control>
          </mc:Choice>
        </mc:AlternateContent>
        <mc:AlternateContent xmlns:mc="http://schemas.openxmlformats.org/markup-compatibility/2006">
          <mc:Choice Requires="x14">
            <control shapeId="1055" r:id="rId27" name="Check Box 31">
              <controlPr defaultSize="0" autoFill="0" autoLine="0" autoPict="0">
                <anchor moveWithCells="1">
                  <from>
                    <xdr:col>8</xdr:col>
                    <xdr:colOff>259080</xdr:colOff>
                    <xdr:row>29</xdr:row>
                    <xdr:rowOff>38100</xdr:rowOff>
                  </from>
                  <to>
                    <xdr:col>8</xdr:col>
                    <xdr:colOff>601980</xdr:colOff>
                    <xdr:row>29</xdr:row>
                    <xdr:rowOff>266700</xdr:rowOff>
                  </to>
                </anchor>
              </controlPr>
            </control>
          </mc:Choice>
        </mc:AlternateContent>
        <mc:AlternateContent xmlns:mc="http://schemas.openxmlformats.org/markup-compatibility/2006">
          <mc:Choice Requires="x14">
            <control shapeId="1056" r:id="rId28" name="Check Box 32">
              <controlPr defaultSize="0" autoFill="0" autoLine="0" autoPict="0">
                <anchor moveWithCells="1">
                  <from>
                    <xdr:col>8</xdr:col>
                    <xdr:colOff>259080</xdr:colOff>
                    <xdr:row>30</xdr:row>
                    <xdr:rowOff>190500</xdr:rowOff>
                  </from>
                  <to>
                    <xdr:col>8</xdr:col>
                    <xdr:colOff>601980</xdr:colOff>
                    <xdr:row>30</xdr:row>
                    <xdr:rowOff>419100</xdr:rowOff>
                  </to>
                </anchor>
              </controlPr>
            </control>
          </mc:Choice>
        </mc:AlternateContent>
        <mc:AlternateContent xmlns:mc="http://schemas.openxmlformats.org/markup-compatibility/2006">
          <mc:Choice Requires="x14">
            <control shapeId="1057" r:id="rId29" name="Check Box 33">
              <controlPr defaultSize="0" autoFill="0" autoLine="0" autoPict="0">
                <anchor moveWithCells="1">
                  <from>
                    <xdr:col>8</xdr:col>
                    <xdr:colOff>259080</xdr:colOff>
                    <xdr:row>31</xdr:row>
                    <xdr:rowOff>38100</xdr:rowOff>
                  </from>
                  <to>
                    <xdr:col>8</xdr:col>
                    <xdr:colOff>601980</xdr:colOff>
                    <xdr:row>31</xdr:row>
                    <xdr:rowOff>266700</xdr:rowOff>
                  </to>
                </anchor>
              </controlPr>
            </control>
          </mc:Choice>
        </mc:AlternateContent>
        <mc:AlternateContent xmlns:mc="http://schemas.openxmlformats.org/markup-compatibility/2006">
          <mc:Choice Requires="x14">
            <control shapeId="1058" r:id="rId30" name="Check Box 34">
              <controlPr defaultSize="0" autoFill="0" autoLine="0" autoPict="0">
                <anchor moveWithCells="1">
                  <from>
                    <xdr:col>8</xdr:col>
                    <xdr:colOff>259080</xdr:colOff>
                    <xdr:row>32</xdr:row>
                    <xdr:rowOff>87630</xdr:rowOff>
                  </from>
                  <to>
                    <xdr:col>8</xdr:col>
                    <xdr:colOff>601980</xdr:colOff>
                    <xdr:row>32</xdr:row>
                    <xdr:rowOff>316230</xdr:rowOff>
                  </to>
                </anchor>
              </controlPr>
            </control>
          </mc:Choice>
        </mc:AlternateContent>
        <mc:AlternateContent xmlns:mc="http://schemas.openxmlformats.org/markup-compatibility/2006">
          <mc:Choice Requires="x14">
            <control shapeId="1059" r:id="rId31" name="Check Box 35">
              <controlPr defaultSize="0" autoFill="0" autoLine="0" autoPict="0">
                <anchor moveWithCells="1">
                  <from>
                    <xdr:col>8</xdr:col>
                    <xdr:colOff>259080</xdr:colOff>
                    <xdr:row>33</xdr:row>
                    <xdr:rowOff>68580</xdr:rowOff>
                  </from>
                  <to>
                    <xdr:col>8</xdr:col>
                    <xdr:colOff>601980</xdr:colOff>
                    <xdr:row>33</xdr:row>
                    <xdr:rowOff>316230</xdr:rowOff>
                  </to>
                </anchor>
              </controlPr>
            </control>
          </mc:Choice>
        </mc:AlternateContent>
        <mc:AlternateContent xmlns:mc="http://schemas.openxmlformats.org/markup-compatibility/2006">
          <mc:Choice Requires="x14">
            <control shapeId="1060" r:id="rId32" name="Button 36">
              <controlPr defaultSize="0" print="0" autoFill="0" autoPict="0" macro="[0]!UncheckAll_Click" altText="Uncheck All">
                <anchor moveWithCells="1" sizeWithCells="1">
                  <from>
                    <xdr:col>7</xdr:col>
                    <xdr:colOff>2049780</xdr:colOff>
                    <xdr:row>3</xdr:row>
                    <xdr:rowOff>19050</xdr:rowOff>
                  </from>
                  <to>
                    <xdr:col>8</xdr:col>
                    <xdr:colOff>735330</xdr:colOff>
                    <xdr:row>4</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34"/>
  <sheetViews>
    <sheetView showGridLines="0" showRowColHeaders="0" zoomScale="90" zoomScaleNormal="90" zoomScaleSheetLayoutView="90" workbookViewId="0">
      <selection activeCell="A35" sqref="A35"/>
    </sheetView>
  </sheetViews>
  <sheetFormatPr defaultColWidth="9.15625" defaultRowHeight="16" customHeight="1" x14ac:dyDescent="0.35"/>
  <cols>
    <col min="1" max="1" width="56.83984375" style="50" customWidth="1"/>
    <col min="2" max="2" width="5.83984375" style="50" customWidth="1"/>
    <col min="3" max="3" width="1.68359375" style="51" customWidth="1"/>
    <col min="4" max="4" width="3" style="51" customWidth="1"/>
    <col min="5" max="5" width="60.68359375" style="51" customWidth="1"/>
    <col min="6" max="16384" width="9.15625" style="50"/>
  </cols>
  <sheetData>
    <row r="1" spans="1:5" ht="18.75" customHeight="1" x14ac:dyDescent="0.35">
      <c r="A1" s="348" t="s">
        <v>140</v>
      </c>
      <c r="B1" s="79"/>
      <c r="C1" s="345" t="s">
        <v>141</v>
      </c>
      <c r="D1" s="346"/>
      <c r="E1" s="347"/>
    </row>
    <row r="2" spans="1:5" ht="15" customHeight="1" x14ac:dyDescent="0.35">
      <c r="A2" s="348"/>
      <c r="B2" s="79"/>
      <c r="C2" s="80"/>
      <c r="D2" s="81" t="s">
        <v>0</v>
      </c>
      <c r="E2" s="82"/>
    </row>
    <row r="3" spans="1:5" ht="16" customHeight="1" x14ac:dyDescent="0.35">
      <c r="A3" s="343" t="s">
        <v>142</v>
      </c>
      <c r="B3" s="79"/>
      <c r="C3" s="80"/>
      <c r="D3" s="83" t="s">
        <v>118</v>
      </c>
      <c r="E3" s="82"/>
    </row>
    <row r="4" spans="1:5" ht="16" customHeight="1" x14ac:dyDescent="0.35">
      <c r="A4" s="344"/>
      <c r="B4" s="79"/>
      <c r="C4" s="80"/>
      <c r="D4" s="83"/>
      <c r="E4" s="82" t="s">
        <v>119</v>
      </c>
    </row>
    <row r="5" spans="1:5" ht="16" customHeight="1" x14ac:dyDescent="0.35">
      <c r="A5" s="344"/>
      <c r="B5" s="79"/>
      <c r="C5" s="80"/>
      <c r="D5" s="83"/>
      <c r="E5" s="82" t="s">
        <v>120</v>
      </c>
    </row>
    <row r="6" spans="1:5" ht="16" customHeight="1" x14ac:dyDescent="0.35">
      <c r="A6" s="344"/>
      <c r="B6" s="79"/>
      <c r="C6" s="80"/>
      <c r="D6" s="83"/>
      <c r="E6" s="82" t="s">
        <v>121</v>
      </c>
    </row>
    <row r="7" spans="1:5" ht="16" customHeight="1" x14ac:dyDescent="0.35">
      <c r="A7" s="344"/>
      <c r="B7" s="79"/>
      <c r="C7" s="80"/>
      <c r="D7" s="83"/>
      <c r="E7" s="82" t="s">
        <v>122</v>
      </c>
    </row>
    <row r="8" spans="1:5" ht="16" customHeight="1" x14ac:dyDescent="0.35">
      <c r="A8" s="344"/>
      <c r="B8" s="79"/>
      <c r="C8" s="80"/>
      <c r="D8" s="83" t="s">
        <v>123</v>
      </c>
      <c r="E8" s="82"/>
    </row>
    <row r="9" spans="1:5" ht="16" customHeight="1" x14ac:dyDescent="0.35">
      <c r="A9" s="344"/>
      <c r="B9" s="79"/>
      <c r="C9" s="80"/>
      <c r="D9" s="83" t="s">
        <v>124</v>
      </c>
      <c r="E9" s="82"/>
    </row>
    <row r="10" spans="1:5" ht="16" customHeight="1" x14ac:dyDescent="0.35">
      <c r="A10" s="344"/>
      <c r="B10" s="79"/>
      <c r="C10" s="80"/>
      <c r="D10" s="83"/>
      <c r="E10" s="82" t="s">
        <v>125</v>
      </c>
    </row>
    <row r="11" spans="1:5" ht="16" customHeight="1" x14ac:dyDescent="0.35">
      <c r="A11" s="344"/>
      <c r="B11" s="79"/>
      <c r="C11" s="80"/>
      <c r="D11" s="83"/>
      <c r="E11" s="82" t="s">
        <v>126</v>
      </c>
    </row>
    <row r="12" spans="1:5" ht="16" customHeight="1" x14ac:dyDescent="0.35">
      <c r="A12" s="344"/>
      <c r="B12" s="79"/>
      <c r="C12" s="80"/>
      <c r="D12" s="83"/>
      <c r="E12" s="82" t="s">
        <v>127</v>
      </c>
    </row>
    <row r="13" spans="1:5" ht="8.1" customHeight="1" x14ac:dyDescent="0.35">
      <c r="A13" s="344"/>
      <c r="B13" s="79"/>
      <c r="C13" s="80"/>
      <c r="D13" s="83"/>
      <c r="E13" s="82"/>
    </row>
    <row r="14" spans="1:5" ht="15" customHeight="1" x14ac:dyDescent="0.35">
      <c r="A14" s="344"/>
      <c r="B14" s="79"/>
      <c r="C14" s="80"/>
      <c r="D14" s="81" t="s">
        <v>128</v>
      </c>
      <c r="E14" s="82"/>
    </row>
    <row r="15" spans="1:5" ht="16" customHeight="1" x14ac:dyDescent="0.35">
      <c r="A15" s="344"/>
      <c r="B15" s="79"/>
      <c r="C15" s="80"/>
      <c r="D15" s="83" t="s">
        <v>129</v>
      </c>
      <c r="E15" s="82"/>
    </row>
    <row r="16" spans="1:5" ht="16" customHeight="1" x14ac:dyDescent="0.35">
      <c r="A16" s="344"/>
      <c r="B16" s="79"/>
      <c r="C16" s="80"/>
      <c r="D16" s="83" t="s">
        <v>130</v>
      </c>
      <c r="E16" s="82"/>
    </row>
    <row r="17" spans="1:5" ht="16" customHeight="1" x14ac:dyDescent="0.35">
      <c r="A17" s="344"/>
      <c r="B17" s="79"/>
      <c r="C17" s="80"/>
      <c r="D17" s="83" t="s">
        <v>131</v>
      </c>
      <c r="E17" s="82"/>
    </row>
    <row r="18" spans="1:5" ht="16" customHeight="1" x14ac:dyDescent="0.35">
      <c r="A18" s="344"/>
      <c r="B18" s="79"/>
      <c r="C18" s="80"/>
      <c r="D18" s="83" t="s">
        <v>132</v>
      </c>
      <c r="E18" s="82"/>
    </row>
    <row r="19" spans="1:5" ht="16" customHeight="1" x14ac:dyDescent="0.35">
      <c r="A19" s="344"/>
      <c r="B19" s="79"/>
      <c r="C19" s="80"/>
      <c r="D19" s="83" t="s">
        <v>133</v>
      </c>
      <c r="E19" s="82"/>
    </row>
    <row r="20" spans="1:5" ht="16" customHeight="1" x14ac:dyDescent="0.35">
      <c r="A20" s="344"/>
      <c r="B20" s="79"/>
      <c r="C20" s="80"/>
      <c r="D20" s="83" t="s">
        <v>10</v>
      </c>
      <c r="E20" s="82"/>
    </row>
    <row r="21" spans="1:5" ht="8.1" customHeight="1" x14ac:dyDescent="0.35">
      <c r="A21" s="344"/>
      <c r="B21" s="79"/>
      <c r="C21" s="80"/>
      <c r="D21" s="83"/>
      <c r="E21" s="82"/>
    </row>
    <row r="22" spans="1:5" ht="15" customHeight="1" x14ac:dyDescent="0.35">
      <c r="A22" s="344"/>
      <c r="B22" s="79"/>
      <c r="C22" s="80"/>
      <c r="D22" s="81" t="s">
        <v>134</v>
      </c>
      <c r="E22" s="82"/>
    </row>
    <row r="23" spans="1:5" ht="16" customHeight="1" x14ac:dyDescent="0.35">
      <c r="A23" s="344"/>
      <c r="B23" s="79"/>
      <c r="C23" s="80"/>
      <c r="D23" s="83" t="s">
        <v>135</v>
      </c>
      <c r="E23" s="82"/>
    </row>
    <row r="24" spans="1:5" ht="16" customHeight="1" x14ac:dyDescent="0.35">
      <c r="A24" s="344"/>
      <c r="B24" s="79"/>
      <c r="C24" s="80"/>
      <c r="D24" s="83" t="s">
        <v>28</v>
      </c>
      <c r="E24" s="82"/>
    </row>
    <row r="25" spans="1:5" ht="8.1" customHeight="1" x14ac:dyDescent="0.35">
      <c r="A25" s="344"/>
      <c r="B25" s="79"/>
      <c r="C25" s="80"/>
      <c r="D25" s="83"/>
      <c r="E25" s="82"/>
    </row>
    <row r="26" spans="1:5" ht="15" customHeight="1" x14ac:dyDescent="0.35">
      <c r="A26" s="344"/>
      <c r="B26" s="79"/>
      <c r="C26" s="80"/>
      <c r="D26" s="81" t="s">
        <v>136</v>
      </c>
      <c r="E26" s="82"/>
    </row>
    <row r="27" spans="1:5" ht="16" customHeight="1" x14ac:dyDescent="0.35">
      <c r="A27" s="344"/>
      <c r="B27" s="79"/>
      <c r="C27" s="80"/>
      <c r="D27" s="83" t="s">
        <v>137</v>
      </c>
      <c r="E27" s="82"/>
    </row>
    <row r="28" spans="1:5" ht="16" customHeight="1" x14ac:dyDescent="0.35">
      <c r="A28" s="344"/>
      <c r="B28" s="79"/>
      <c r="C28" s="80"/>
      <c r="D28" s="83" t="s">
        <v>32</v>
      </c>
      <c r="E28" s="82"/>
    </row>
    <row r="29" spans="1:5" ht="8.1" customHeight="1" x14ac:dyDescent="0.35">
      <c r="A29" s="344"/>
      <c r="B29" s="79"/>
      <c r="C29" s="80"/>
      <c r="D29" s="83"/>
      <c r="E29" s="82"/>
    </row>
    <row r="30" spans="1:5" ht="15" customHeight="1" x14ac:dyDescent="0.35">
      <c r="A30" s="344"/>
      <c r="B30" s="79"/>
      <c r="C30" s="80"/>
      <c r="D30" s="81" t="s">
        <v>138</v>
      </c>
      <c r="E30" s="82"/>
    </row>
    <row r="31" spans="1:5" ht="16" customHeight="1" x14ac:dyDescent="0.35">
      <c r="A31" s="344"/>
      <c r="B31" s="79"/>
      <c r="C31" s="80"/>
      <c r="D31" s="83" t="s">
        <v>139</v>
      </c>
      <c r="E31" s="82"/>
    </row>
    <row r="32" spans="1:5" ht="16" customHeight="1" x14ac:dyDescent="0.35">
      <c r="A32" s="344"/>
      <c r="B32" s="79"/>
      <c r="C32" s="80"/>
      <c r="D32" s="83" t="s">
        <v>36</v>
      </c>
      <c r="E32" s="82"/>
    </row>
    <row r="33" spans="1:5" ht="8.1" customHeight="1" thickBot="1" x14ac:dyDescent="0.4">
      <c r="A33" s="344"/>
      <c r="B33" s="79"/>
      <c r="C33" s="84"/>
      <c r="D33" s="85"/>
      <c r="E33" s="86"/>
    </row>
    <row r="34" spans="1:5" ht="16" customHeight="1" x14ac:dyDescent="0.35">
      <c r="A34" s="79"/>
      <c r="B34" s="79"/>
      <c r="C34" s="87"/>
      <c r="D34" s="87"/>
      <c r="E34" s="87"/>
    </row>
  </sheetData>
  <sheetProtection algorithmName="SHA-512" hashValue="V8IlJ6XZr5l7H9NW8qIRO1Dohx0oo90+0IcKgWqo0Fiy/FjzO5oSTebTxpb9Yr1Gdepb0M48+5vLdRpxkAtlPw==" saltValue="6y5yzFdHTIw1ufVZGyHq6w==" spinCount="100000" sheet="1" objects="1" scenarios="1" selectLockedCells="1"/>
  <mergeCells count="3">
    <mergeCell ref="A3:A33"/>
    <mergeCell ref="C1:E1"/>
    <mergeCell ref="A1:A2"/>
  </mergeCells>
  <printOptions horizontalCentered="1"/>
  <pageMargins left="0.7" right="0.7" top="0.75" bottom="0.75" header="0.3" footer="0.3"/>
  <pageSetup paperSize="9"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37"/>
  <sheetViews>
    <sheetView showGridLines="0" showRowColHeaders="0" workbookViewId="0">
      <pane ySplit="8" topLeftCell="A9" activePane="bottomLeft" state="frozen"/>
      <selection pane="bottomLeft" activeCell="G11" sqref="G11"/>
    </sheetView>
  </sheetViews>
  <sheetFormatPr defaultRowHeight="14.4" x14ac:dyDescent="0.55000000000000004"/>
  <cols>
    <col min="1" max="1" width="26.68359375" style="165" customWidth="1"/>
    <col min="2" max="2" width="81.578125" style="165" customWidth="1"/>
  </cols>
  <sheetData>
    <row r="1" spans="1:2" ht="20.100000000000001" customHeight="1" x14ac:dyDescent="0.55000000000000004">
      <c r="A1" s="185" t="s">
        <v>217</v>
      </c>
      <c r="B1" s="187" t="s">
        <v>221</v>
      </c>
    </row>
    <row r="2" spans="1:2" ht="18" customHeight="1" x14ac:dyDescent="0.55000000000000004">
      <c r="A2" s="183" t="s">
        <v>216</v>
      </c>
      <c r="B2" s="166" t="s">
        <v>226</v>
      </c>
    </row>
    <row r="3" spans="1:2" ht="18" customHeight="1" x14ac:dyDescent="0.55000000000000004">
      <c r="A3" s="183" t="s">
        <v>215</v>
      </c>
      <c r="B3" s="173" t="s">
        <v>225</v>
      </c>
    </row>
    <row r="4" spans="1:2" ht="18" customHeight="1" x14ac:dyDescent="0.55000000000000004">
      <c r="A4" s="183" t="s">
        <v>214</v>
      </c>
      <c r="B4" s="166" t="s">
        <v>224</v>
      </c>
    </row>
    <row r="5" spans="1:2" ht="18" customHeight="1" x14ac:dyDescent="0.55000000000000004">
      <c r="A5" s="183" t="s">
        <v>213</v>
      </c>
      <c r="B5" s="166"/>
    </row>
    <row r="6" spans="1:2" s="172" customFormat="1" ht="18" customHeight="1" x14ac:dyDescent="0.55000000000000004">
      <c r="A6" s="184" t="s">
        <v>212</v>
      </c>
      <c r="B6" s="173" t="s">
        <v>222</v>
      </c>
    </row>
    <row r="7" spans="1:2" s="172" customFormat="1" ht="18" customHeight="1" x14ac:dyDescent="0.55000000000000004">
      <c r="A7" s="184" t="s">
        <v>211</v>
      </c>
      <c r="B7" s="189" t="s">
        <v>223</v>
      </c>
    </row>
    <row r="8" spans="1:2" ht="18" customHeight="1" x14ac:dyDescent="0.55000000000000004">
      <c r="A8" s="183" t="s">
        <v>210</v>
      </c>
      <c r="B8" s="188" t="s">
        <v>209</v>
      </c>
    </row>
    <row r="9" spans="1:2" ht="18" customHeight="1" x14ac:dyDescent="0.55000000000000004">
      <c r="A9" s="169" t="s">
        <v>208</v>
      </c>
      <c r="B9" s="168"/>
    </row>
    <row r="10" spans="1:2" ht="18" customHeight="1" x14ac:dyDescent="0.55000000000000004">
      <c r="A10" s="167" t="s">
        <v>207</v>
      </c>
      <c r="B10" s="166" t="s">
        <v>227</v>
      </c>
    </row>
    <row r="11" spans="1:2" ht="43.2" x14ac:dyDescent="0.55000000000000004">
      <c r="A11" s="167" t="s">
        <v>206</v>
      </c>
      <c r="B11" s="173" t="s">
        <v>228</v>
      </c>
    </row>
    <row r="12" spans="1:2" ht="18" customHeight="1" x14ac:dyDescent="0.55000000000000004">
      <c r="A12" s="167" t="s">
        <v>205</v>
      </c>
      <c r="B12" s="166" t="s">
        <v>200</v>
      </c>
    </row>
    <row r="13" spans="1:2" ht="18" customHeight="1" x14ac:dyDescent="0.55000000000000004">
      <c r="A13" s="169" t="s">
        <v>204</v>
      </c>
      <c r="B13" s="168"/>
    </row>
    <row r="14" spans="1:2" ht="18" customHeight="1" x14ac:dyDescent="0.55000000000000004">
      <c r="A14" s="167" t="s">
        <v>203</v>
      </c>
      <c r="B14" s="189" t="s">
        <v>229</v>
      </c>
    </row>
    <row r="15" spans="1:2" ht="28.8" x14ac:dyDescent="0.55000000000000004">
      <c r="A15" s="167" t="s">
        <v>202</v>
      </c>
      <c r="B15" s="166" t="s">
        <v>230</v>
      </c>
    </row>
    <row r="16" spans="1:2" ht="18" customHeight="1" x14ac:dyDescent="0.55000000000000004">
      <c r="A16" s="167" t="s">
        <v>201</v>
      </c>
      <c r="B16" s="166" t="s">
        <v>200</v>
      </c>
    </row>
    <row r="17" spans="1:2" ht="18" customHeight="1" x14ac:dyDescent="0.55000000000000004">
      <c r="A17" s="167" t="s">
        <v>199</v>
      </c>
      <c r="B17" s="166" t="s">
        <v>231</v>
      </c>
    </row>
    <row r="18" spans="1:2" s="181" customFormat="1" ht="18" customHeight="1" x14ac:dyDescent="0.55000000000000004">
      <c r="A18" s="180" t="s">
        <v>198</v>
      </c>
      <c r="B18" s="182" t="s">
        <v>232</v>
      </c>
    </row>
    <row r="19" spans="1:2" ht="18" customHeight="1" x14ac:dyDescent="0.55000000000000004">
      <c r="A19" s="180" t="s">
        <v>197</v>
      </c>
      <c r="B19" s="179"/>
    </row>
    <row r="20" spans="1:2" ht="18" customHeight="1" x14ac:dyDescent="0.55000000000000004">
      <c r="A20" s="171" t="s">
        <v>196</v>
      </c>
      <c r="B20" s="168"/>
    </row>
    <row r="21" spans="1:2" ht="59.25" customHeight="1" x14ac:dyDescent="0.55000000000000004">
      <c r="A21" s="178" t="s">
        <v>195</v>
      </c>
      <c r="B21" s="177" t="s">
        <v>194</v>
      </c>
    </row>
    <row r="22" spans="1:2" ht="32.1" customHeight="1" x14ac:dyDescent="0.55000000000000004">
      <c r="A22" s="167" t="s">
        <v>193</v>
      </c>
      <c r="B22" s="166" t="s">
        <v>233</v>
      </c>
    </row>
    <row r="23" spans="1:2" ht="43.2" x14ac:dyDescent="0.55000000000000004">
      <c r="A23" s="167" t="s">
        <v>192</v>
      </c>
      <c r="B23" s="166" t="s">
        <v>191</v>
      </c>
    </row>
    <row r="24" spans="1:2" ht="18" customHeight="1" x14ac:dyDescent="0.55000000000000004">
      <c r="A24" s="169" t="s">
        <v>190</v>
      </c>
      <c r="B24" s="168"/>
    </row>
    <row r="25" spans="1:2" s="175" customFormat="1" ht="57.6" x14ac:dyDescent="0.55000000000000004">
      <c r="A25" s="176" t="s">
        <v>189</v>
      </c>
      <c r="B25" s="177" t="s">
        <v>238</v>
      </c>
    </row>
    <row r="26" spans="1:2" ht="18" customHeight="1" x14ac:dyDescent="0.55000000000000004">
      <c r="A26" s="169" t="s">
        <v>188</v>
      </c>
      <c r="B26" s="168"/>
    </row>
    <row r="27" spans="1:2" ht="28.8" x14ac:dyDescent="0.55000000000000004">
      <c r="A27" s="167" t="s">
        <v>187</v>
      </c>
      <c r="B27" s="166" t="s">
        <v>234</v>
      </c>
    </row>
    <row r="28" spans="1:2" s="172" customFormat="1" ht="28.8" x14ac:dyDescent="0.55000000000000004">
      <c r="A28" s="174" t="s">
        <v>186</v>
      </c>
      <c r="B28" s="166" t="s">
        <v>235</v>
      </c>
    </row>
    <row r="29" spans="1:2" ht="18" customHeight="1" x14ac:dyDescent="0.55000000000000004">
      <c r="A29" s="169" t="s">
        <v>185</v>
      </c>
      <c r="B29" s="168"/>
    </row>
    <row r="30" spans="1:2" ht="72" x14ac:dyDescent="0.55000000000000004">
      <c r="A30" s="167" t="s">
        <v>184</v>
      </c>
      <c r="B30" s="176" t="s">
        <v>236</v>
      </c>
    </row>
    <row r="31" spans="1:2" ht="18" customHeight="1" x14ac:dyDescent="0.55000000000000004">
      <c r="A31" s="171" t="s">
        <v>183</v>
      </c>
      <c r="B31" s="168"/>
    </row>
    <row r="32" spans="1:2" ht="32.1" customHeight="1" x14ac:dyDescent="0.55000000000000004">
      <c r="A32" s="167" t="s">
        <v>182</v>
      </c>
      <c r="B32" s="166"/>
    </row>
    <row r="33" spans="1:2" ht="18" customHeight="1" x14ac:dyDescent="0.55000000000000004">
      <c r="A33" s="171" t="s">
        <v>218</v>
      </c>
      <c r="B33" s="168"/>
    </row>
    <row r="34" spans="1:2" ht="57.6" x14ac:dyDescent="0.55000000000000004">
      <c r="A34" s="167" t="s">
        <v>181</v>
      </c>
      <c r="B34" s="176" t="s">
        <v>237</v>
      </c>
    </row>
    <row r="35" spans="1:2" ht="18" customHeight="1" x14ac:dyDescent="0.55000000000000004">
      <c r="A35" s="169" t="s">
        <v>219</v>
      </c>
      <c r="B35" s="168"/>
    </row>
    <row r="36" spans="1:2" ht="32.1" customHeight="1" x14ac:dyDescent="0.55000000000000004">
      <c r="A36" s="167" t="s">
        <v>180</v>
      </c>
      <c r="B36" s="186" t="s">
        <v>239</v>
      </c>
    </row>
    <row r="37" spans="1:2" ht="43.2" x14ac:dyDescent="0.55000000000000004">
      <c r="A37" s="167" t="s">
        <v>220</v>
      </c>
      <c r="B37" s="186" t="s">
        <v>240</v>
      </c>
    </row>
  </sheetData>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1.WorkshopInsilico Analysis</vt:lpstr>
      <vt:lpstr>2.WorkshopEvidenceFramework</vt:lpstr>
      <vt:lpstr>2.WorkshopEvidenceFramework (2)</vt:lpstr>
      <vt:lpstr>3.In silico Analysis</vt:lpstr>
      <vt:lpstr>4.Evidence Framework</vt:lpstr>
      <vt:lpstr>5.Evidence Categories</vt:lpstr>
      <vt:lpstr>6.About this Tool</vt:lpstr>
      <vt:lpstr>In silico EXAMPLE</vt:lpstr>
      <vt:lpstr>'2.WorkshopEvidenceFramework'!Print_Area</vt:lpstr>
      <vt:lpstr>'2.WorkshopEvidenceFramework (2)'!Print_Area</vt:lpstr>
      <vt:lpstr>'4.Evidence Framework'!Print_Area</vt:lpstr>
      <vt:lpstr>'5.Evidence Categories'!Print_Area</vt:lpstr>
    </vt:vector>
  </TitlesOfParts>
  <Company>National Heart Centre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Sylvia Kam</dc:creator>
  <cp:lastModifiedBy>Jen Sng</cp:lastModifiedBy>
  <cp:lastPrinted>2017-12-08T08:35:44Z</cp:lastPrinted>
  <dcterms:created xsi:type="dcterms:W3CDTF">2017-07-18T09:18:25Z</dcterms:created>
  <dcterms:modified xsi:type="dcterms:W3CDTF">2021-05-07T03:29:34Z</dcterms:modified>
</cp:coreProperties>
</file>